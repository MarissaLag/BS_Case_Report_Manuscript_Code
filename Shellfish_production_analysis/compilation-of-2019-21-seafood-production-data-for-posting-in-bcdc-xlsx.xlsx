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is/Documents/"/>
    </mc:Choice>
  </mc:AlternateContent>
  <xr:revisionPtr revIDLastSave="0" documentId="13_ncr:1_{4A9B9C77-6DB1-994C-95F4-D2263AF89995}" xr6:coauthVersionLast="47" xr6:coauthVersionMax="47" xr10:uidLastSave="{00000000-0000-0000-0000-000000000000}"/>
  <bookViews>
    <workbookView xWindow="0" yWindow="780" windowWidth="29100" windowHeight="19200" activeTab="2" xr2:uid="{00000000-000D-0000-FFFF-FFFF00000000}"/>
  </bookViews>
  <sheets>
    <sheet name="final" sheetId="15" r:id="rId1"/>
    <sheet name="R" sheetId="16" r:id="rId2"/>
    <sheet name="R2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4" i="15" l="1"/>
  <c r="K54" i="15"/>
  <c r="J54" i="15"/>
  <c r="H54" i="15"/>
  <c r="I54" i="15" s="1"/>
  <c r="G54" i="15"/>
  <c r="F54" i="15"/>
  <c r="D54" i="15"/>
  <c r="C54" i="15"/>
  <c r="B54" i="15"/>
  <c r="M53" i="15"/>
  <c r="M52" i="15"/>
  <c r="M51" i="15"/>
  <c r="H49" i="15"/>
  <c r="L48" i="15"/>
  <c r="K48" i="15"/>
  <c r="J48" i="15"/>
  <c r="H48" i="15"/>
  <c r="I48" i="15" s="1"/>
  <c r="G48" i="15"/>
  <c r="F48" i="15"/>
  <c r="D48" i="15"/>
  <c r="C48" i="15"/>
  <c r="B48" i="15"/>
  <c r="M47" i="15"/>
  <c r="M46" i="15"/>
  <c r="M45" i="15"/>
  <c r="M44" i="15"/>
  <c r="L42" i="15"/>
  <c r="K42" i="15"/>
  <c r="J42" i="15"/>
  <c r="H42" i="15"/>
  <c r="I42" i="15" s="1"/>
  <c r="G42" i="15"/>
  <c r="G49" i="15" s="1"/>
  <c r="F42" i="15"/>
  <c r="F49" i="15" s="1"/>
  <c r="D42" i="15"/>
  <c r="D49" i="15" s="1"/>
  <c r="C42" i="15"/>
  <c r="B42" i="15"/>
  <c r="M41" i="15"/>
  <c r="M40" i="15"/>
  <c r="M39" i="15"/>
  <c r="M38" i="15"/>
  <c r="M37" i="15"/>
  <c r="M36" i="15"/>
  <c r="M35" i="15"/>
  <c r="M34" i="15"/>
  <c r="M33" i="15"/>
  <c r="L31" i="15"/>
  <c r="M31" i="15" s="1"/>
  <c r="K31" i="15"/>
  <c r="J31" i="15"/>
  <c r="H31" i="15"/>
  <c r="I31" i="15" s="1"/>
  <c r="G31" i="15"/>
  <c r="F31" i="15"/>
  <c r="D31" i="15"/>
  <c r="E31" i="15" s="1"/>
  <c r="C31" i="15"/>
  <c r="B31" i="15"/>
  <c r="M30" i="15"/>
  <c r="M29" i="15"/>
  <c r="M28" i="15"/>
  <c r="M27" i="15"/>
  <c r="M26" i="15"/>
  <c r="M25" i="15"/>
  <c r="M24" i="15"/>
  <c r="M23" i="15"/>
  <c r="M22" i="15"/>
  <c r="M21" i="15"/>
  <c r="M20" i="15"/>
  <c r="L18" i="15"/>
  <c r="K18" i="15"/>
  <c r="J18" i="15"/>
  <c r="H18" i="15"/>
  <c r="G18" i="15"/>
  <c r="F18" i="15"/>
  <c r="D18" i="15"/>
  <c r="E18" i="15" s="1"/>
  <c r="C18" i="15"/>
  <c r="B18" i="15"/>
  <c r="M17" i="15"/>
  <c r="M16" i="15"/>
  <c r="M15" i="15"/>
  <c r="G13" i="15"/>
  <c r="F13" i="15"/>
  <c r="L12" i="15"/>
  <c r="M12" i="15" s="1"/>
  <c r="K12" i="15"/>
  <c r="J12" i="15"/>
  <c r="H12" i="15"/>
  <c r="G12" i="15"/>
  <c r="F12" i="15"/>
  <c r="F58" i="15" s="1"/>
  <c r="D12" i="15"/>
  <c r="C12" i="15"/>
  <c r="C13" i="15" s="1"/>
  <c r="B12" i="15"/>
  <c r="M11" i="15"/>
  <c r="M10" i="15"/>
  <c r="L8" i="15"/>
  <c r="L57" i="15" s="1"/>
  <c r="K8" i="15"/>
  <c r="K57" i="15" s="1"/>
  <c r="J8" i="15"/>
  <c r="J13" i="15" s="1"/>
  <c r="H8" i="15"/>
  <c r="H13" i="15" s="1"/>
  <c r="G8" i="15"/>
  <c r="F8" i="15"/>
  <c r="D8" i="15"/>
  <c r="E8" i="15" s="1"/>
  <c r="C8" i="15"/>
  <c r="C57" i="15" s="1"/>
  <c r="B8" i="15"/>
  <c r="B13" i="15" s="1"/>
  <c r="M7" i="15"/>
  <c r="M6" i="15"/>
  <c r="M5" i="15"/>
  <c r="M4" i="15"/>
  <c r="M3" i="15"/>
  <c r="H58" i="15" l="1"/>
  <c r="I12" i="15"/>
  <c r="G57" i="15"/>
  <c r="B58" i="15"/>
  <c r="K13" i="15"/>
  <c r="K56" i="15" s="1"/>
  <c r="C49" i="15"/>
  <c r="E49" i="15" s="1"/>
  <c r="L49" i="15"/>
  <c r="M49" i="15" s="1"/>
  <c r="M54" i="15"/>
  <c r="E12" i="15"/>
  <c r="G56" i="15"/>
  <c r="I18" i="15"/>
  <c r="J49" i="15"/>
  <c r="E54" i="15"/>
  <c r="I49" i="15"/>
  <c r="F56" i="15"/>
  <c r="G58" i="15"/>
  <c r="I58" i="15" s="1"/>
  <c r="D57" i="15"/>
  <c r="M8" i="15"/>
  <c r="M48" i="15"/>
  <c r="F57" i="15"/>
  <c r="F59" i="15" s="1"/>
  <c r="J58" i="15"/>
  <c r="M18" i="15"/>
  <c r="B49" i="15"/>
  <c r="B56" i="15" s="1"/>
  <c r="K49" i="15"/>
  <c r="E48" i="15"/>
  <c r="H56" i="15"/>
  <c r="I56" i="15" s="1"/>
  <c r="I13" i="15"/>
  <c r="J56" i="15"/>
  <c r="C56" i="15"/>
  <c r="C59" i="15"/>
  <c r="M57" i="15"/>
  <c r="E57" i="15"/>
  <c r="I8" i="15"/>
  <c r="D13" i="15"/>
  <c r="L13" i="15"/>
  <c r="C58" i="15"/>
  <c r="K58" i="15"/>
  <c r="K59" i="15" s="1"/>
  <c r="H57" i="15"/>
  <c r="D58" i="15"/>
  <c r="E58" i="15" s="1"/>
  <c r="L58" i="15"/>
  <c r="M58" i="15" s="1"/>
  <c r="E42" i="15"/>
  <c r="M42" i="15"/>
  <c r="B57" i="15"/>
  <c r="B59" i="15" s="1"/>
  <c r="J57" i="15"/>
  <c r="G59" i="15" l="1"/>
  <c r="J59" i="15"/>
  <c r="D56" i="15"/>
  <c r="E56" i="15" s="1"/>
  <c r="E13" i="15"/>
  <c r="D59" i="15"/>
  <c r="E59" i="15" s="1"/>
  <c r="L59" i="15"/>
  <c r="M59" i="15" s="1"/>
  <c r="L56" i="15"/>
  <c r="M56" i="15" s="1"/>
  <c r="M13" i="15"/>
  <c r="I57" i="15"/>
  <c r="H59" i="15"/>
  <c r="I59" i="15" s="1"/>
</calcChain>
</file>

<file path=xl/sharedStrings.xml><?xml version="1.0" encoding="utf-8"?>
<sst xmlns="http://schemas.openxmlformats.org/spreadsheetml/2006/main" count="78" uniqueCount="73">
  <si>
    <t>Grand Total</t>
  </si>
  <si>
    <t>Harvest ('000 t)</t>
  </si>
  <si>
    <t>Landed Value ($ M)</t>
  </si>
  <si>
    <t>Wholesale Value ($ M) 1</t>
  </si>
  <si>
    <t>Species/Product</t>
  </si>
  <si>
    <t>Total Wild Salmon 2</t>
  </si>
  <si>
    <t>Total Farmed Salmon</t>
  </si>
  <si>
    <t>Total Salmon</t>
  </si>
  <si>
    <t>Total Herring</t>
  </si>
  <si>
    <t>Total Groundfish</t>
  </si>
  <si>
    <t>Total Wild Invertebrates</t>
  </si>
  <si>
    <t>Total Farmed Invertebrates</t>
  </si>
  <si>
    <t>Total Invertebrates</t>
  </si>
  <si>
    <t>Total Other</t>
  </si>
  <si>
    <t>%Chg 20-21</t>
  </si>
  <si>
    <t>Wild Total</t>
  </si>
  <si>
    <t>Farm Total</t>
  </si>
  <si>
    <t>Chinook Salmon, Wild</t>
  </si>
  <si>
    <t>Chum Salmon, Wild</t>
  </si>
  <si>
    <t>Coho Salmon, Wild</t>
  </si>
  <si>
    <t>Pink Salmon, Wild</t>
  </si>
  <si>
    <t>Sockeye Salmon, Wild</t>
  </si>
  <si>
    <t>Herring Food, Bait &amp; Other, Wild</t>
  </si>
  <si>
    <t>Roe Herring, Wild</t>
  </si>
  <si>
    <t>Herring Spawn on Kelp, Wild 4</t>
  </si>
  <si>
    <t>Arrowtooth Flounders, Wild</t>
  </si>
  <si>
    <t>Hake, Wild</t>
  </si>
  <si>
    <t>Halibut, Wild</t>
  </si>
  <si>
    <t>Lingcod, Wild</t>
  </si>
  <si>
    <t>Pacific Cod, Wild</t>
  </si>
  <si>
    <t>Pollock, Wild</t>
  </si>
  <si>
    <t>Rockfish, Wild</t>
  </si>
  <si>
    <t>Sablefish, Wild</t>
  </si>
  <si>
    <t>Skates, Wild</t>
  </si>
  <si>
    <t>Soles, Wild</t>
  </si>
  <si>
    <t>Other Groundfish, Wild 5</t>
  </si>
  <si>
    <t>Clams (Excl. Geoduck), Wild</t>
  </si>
  <si>
    <t>Crabs, Wild</t>
  </si>
  <si>
    <t>Geoducks, Wild</t>
  </si>
  <si>
    <t>Prawns, Wild</t>
  </si>
  <si>
    <t>Sea Cucumbers, Wild</t>
  </si>
  <si>
    <t>Sea Urchins Green, Wild</t>
  </si>
  <si>
    <t>Sea Urchins Red, Wild</t>
  </si>
  <si>
    <t>Shrimp, Wild</t>
  </si>
  <si>
    <t>Other Invertebrates, Wild 6</t>
  </si>
  <si>
    <t>Tuna, Wild</t>
  </si>
  <si>
    <t>Other, Wild 8</t>
  </si>
  <si>
    <t>Atlantic Salmon, Farmed</t>
  </si>
  <si>
    <t>Pacific Salmon, Farmed 3</t>
  </si>
  <si>
    <t>Geoducks &amp; Other Clams, Farmed</t>
  </si>
  <si>
    <t>Mussels, Farmed</t>
  </si>
  <si>
    <t>Oysters, Farmed</t>
  </si>
  <si>
    <t>Scallops &amp; Other Invertebrates, Farmed 7</t>
  </si>
  <si>
    <t>Other, Farmed 9</t>
  </si>
  <si>
    <t>2 Wild salmon wholesale values include those for steelhead and those from aboriginal commercial fisheries.</t>
  </si>
  <si>
    <t>4 The herring spawn-on-kelp harvest is not of whole herring, but herring eggs that have adhered to blades of kelp after the herring have spawned.</t>
  </si>
  <si>
    <t>1 Wholesale values include value of imported seafood. In addition, wholesale value of wild salmon and groundfish includes value of offal, meal, and oil that cannot be identified by species.</t>
  </si>
  <si>
    <t xml:space="preserve">3 "Pacific Salmon, Farmed" include chinook, coho, sockeye, and steelhead. </t>
  </si>
  <si>
    <t>9 “Other, Farmed” includes freshwater trout, sablefish, Arctic char, tilapia, barramundi, sturgeon, microalgae, kelp, and other seaweeds.</t>
  </si>
  <si>
    <t>8 “Other, Wild” includes mackerel, perch, pilchards, other fish, sea vegetables, kelp, and other seaweeds.</t>
  </si>
  <si>
    <t>7 “Scallops &amp; Other Invertebrates, Farmed” include scallops, red urchins, and crayfish.</t>
  </si>
  <si>
    <t>5 “Other Groundfish” include flounders, dogfish, other groundfish, and groundfish meal &amp; oil from offal.</t>
  </si>
  <si>
    <t>Check Total</t>
  </si>
  <si>
    <t>6 “Other Invertebrates, Wild” include octopuses, squid, mussels, scallops, krill, mysids, gooseneck barnacles, oysters, and other shellfish.</t>
  </si>
  <si>
    <t>Clams</t>
  </si>
  <si>
    <t>Scallops</t>
  </si>
  <si>
    <t>Oysters</t>
  </si>
  <si>
    <t>Mussels</t>
  </si>
  <si>
    <t>Mussels &amp; Others</t>
  </si>
  <si>
    <t>Geoducks &amp; Other Clams</t>
  </si>
  <si>
    <t>Other</t>
  </si>
  <si>
    <t>in tonnes</t>
  </si>
  <si>
    <t>source: https://www.dfo-mpo.gc.ca/stats/aqua/aqua-prod-eng.htm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</si>
</sst>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FF0000"/>
      <name val="Calibri"/>
      <family val="2"/>
    </font>
    <font>
      <b/>
      <sz val="12"/>
      <name val="Calibri"/>
      <family val="2"/>
    </font>
    <font>
      <sz val="11"/>
      <color theme="1"/>
      <name val="Calibri"/>
      <family val="2"/>
    </font>
    <font>
      <i/>
      <sz val="11"/>
      <color rgb="FF000000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i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12"/>
      <color rgb="FF0070C0"/>
      <name val="Calibri"/>
      <family val="2"/>
    </font>
  </fonts>
  <fills count="8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6" tint="0.5999938962981048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4" fontId="0" fillId="0" borderId="0" xfId="0" applyNumberFormat="1"/>
    <xf numFmtId="0" fontId="3" fillId="2" borderId="0" xfId="0" applyFont="1" applyFill="1"/>
    <xf numFmtId="1" fontId="4" fillId="2" borderId="0" xfId="0" applyNumberFormat="1" applyFont="1" applyFill="1" applyAlignment="1">
      <alignment horizontal="left"/>
    </xf>
    <xf numFmtId="0" fontId="5" fillId="2" borderId="0" xfId="0" applyFont="1" applyFill="1"/>
    <xf numFmtId="4" fontId="5" fillId="2" borderId="0" xfId="0" applyNumberFormat="1" applyFont="1" applyFill="1"/>
    <xf numFmtId="0" fontId="9" fillId="0" borderId="0" xfId="0" applyFont="1" applyAlignment="1">
      <alignment horizontal="right"/>
    </xf>
    <xf numFmtId="0" fontId="9" fillId="0" borderId="0" xfId="0" applyFont="1"/>
    <xf numFmtId="4" fontId="9" fillId="0" borderId="0" xfId="0" applyNumberFormat="1" applyFont="1"/>
    <xf numFmtId="0" fontId="5" fillId="3" borderId="0" xfId="0" applyFont="1" applyFill="1"/>
    <xf numFmtId="4" fontId="5" fillId="3" borderId="0" xfId="0" applyNumberFormat="1" applyFont="1" applyFill="1"/>
    <xf numFmtId="0" fontId="6" fillId="3" borderId="0" xfId="0" applyFont="1" applyFill="1" applyAlignment="1">
      <alignment horizontal="right"/>
    </xf>
    <xf numFmtId="4" fontId="6" fillId="3" borderId="0" xfId="0" applyNumberFormat="1" applyFont="1" applyFill="1" applyAlignment="1">
      <alignment horizontal="right"/>
    </xf>
    <xf numFmtId="4" fontId="6" fillId="3" borderId="0" xfId="0" applyNumberFormat="1" applyFont="1" applyFill="1"/>
    <xf numFmtId="0" fontId="5" fillId="4" borderId="0" xfId="0" applyFont="1" applyFill="1"/>
    <xf numFmtId="4" fontId="5" fillId="4" borderId="0" xfId="0" applyNumberFormat="1" applyFont="1" applyFill="1"/>
    <xf numFmtId="0" fontId="6" fillId="4" borderId="0" xfId="0" applyFont="1" applyFill="1" applyAlignment="1">
      <alignment horizontal="right"/>
    </xf>
    <xf numFmtId="4" fontId="6" fillId="4" borderId="0" xfId="0" applyNumberFormat="1" applyFont="1" applyFill="1" applyAlignment="1">
      <alignment horizontal="right"/>
    </xf>
    <xf numFmtId="4" fontId="6" fillId="4" borderId="0" xfId="0" applyNumberFormat="1" applyFont="1" applyFill="1"/>
    <xf numFmtId="0" fontId="5" fillId="5" borderId="0" xfId="0" applyFont="1" applyFill="1"/>
    <xf numFmtId="4" fontId="5" fillId="5" borderId="0" xfId="0" applyNumberFormat="1" applyFont="1" applyFill="1"/>
    <xf numFmtId="0" fontId="2" fillId="5" borderId="0" xfId="0" applyFont="1" applyFill="1" applyAlignment="1">
      <alignment vertical="center"/>
    </xf>
    <xf numFmtId="0" fontId="6" fillId="5" borderId="0" xfId="0" applyFont="1" applyFill="1" applyAlignment="1">
      <alignment horizontal="right"/>
    </xf>
    <xf numFmtId="4" fontId="6" fillId="5" borderId="0" xfId="0" applyNumberFormat="1" applyFont="1" applyFill="1" applyAlignment="1">
      <alignment horizontal="right"/>
    </xf>
    <xf numFmtId="0" fontId="5" fillId="5" borderId="0" xfId="0" applyFont="1" applyFill="1" applyAlignment="1">
      <alignment horizontal="left"/>
    </xf>
    <xf numFmtId="4" fontId="7" fillId="5" borderId="0" xfId="0" applyNumberFormat="1" applyFont="1" applyFill="1"/>
    <xf numFmtId="0" fontId="5" fillId="6" borderId="0" xfId="0" applyFont="1" applyFill="1"/>
    <xf numFmtId="4" fontId="5" fillId="6" borderId="0" xfId="0" applyNumberFormat="1" applyFont="1" applyFill="1"/>
    <xf numFmtId="0" fontId="2" fillId="6" borderId="0" xfId="0" applyFont="1" applyFill="1" applyAlignment="1">
      <alignment vertical="center"/>
    </xf>
    <xf numFmtId="0" fontId="6" fillId="6" borderId="0" xfId="0" applyFont="1" applyFill="1" applyAlignment="1">
      <alignment horizontal="right"/>
    </xf>
    <xf numFmtId="4" fontId="6" fillId="6" borderId="0" xfId="0" applyNumberFormat="1" applyFont="1" applyFill="1"/>
    <xf numFmtId="0" fontId="1" fillId="5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0" fillId="0" borderId="0" xfId="0" applyAlignment="1">
      <alignment vertical="center"/>
    </xf>
    <xf numFmtId="164" fontId="4" fillId="2" borderId="0" xfId="0" applyNumberFormat="1" applyFont="1" applyFill="1" applyAlignment="1">
      <alignment horizontal="left"/>
    </xf>
    <xf numFmtId="164" fontId="5" fillId="3" borderId="0" xfId="0" applyNumberFormat="1" applyFont="1" applyFill="1"/>
    <xf numFmtId="164" fontId="10" fillId="3" borderId="0" xfId="0" applyNumberFormat="1" applyFont="1" applyFill="1"/>
    <xf numFmtId="164" fontId="5" fillId="2" borderId="0" xfId="0" applyNumberFormat="1" applyFont="1" applyFill="1"/>
    <xf numFmtId="164" fontId="5" fillId="4" borderId="0" xfId="0" applyNumberFormat="1" applyFont="1" applyFill="1"/>
    <xf numFmtId="164" fontId="10" fillId="4" borderId="0" xfId="0" applyNumberFormat="1" applyFont="1" applyFill="1"/>
    <xf numFmtId="164" fontId="5" fillId="5" borderId="0" xfId="0" applyNumberFormat="1" applyFont="1" applyFill="1"/>
    <xf numFmtId="164" fontId="10" fillId="5" borderId="0" xfId="0" applyNumberFormat="1" applyFont="1" applyFill="1"/>
    <xf numFmtId="164" fontId="5" fillId="6" borderId="0" xfId="0" applyNumberFormat="1" applyFont="1" applyFill="1"/>
    <xf numFmtId="164" fontId="10" fillId="6" borderId="0" xfId="0" applyNumberFormat="1" applyFont="1" applyFill="1"/>
    <xf numFmtId="164" fontId="0" fillId="0" borderId="0" xfId="0" applyNumberFormat="1"/>
    <xf numFmtId="164" fontId="10" fillId="0" borderId="0" xfId="0" applyNumberFormat="1" applyFont="1"/>
    <xf numFmtId="164" fontId="5" fillId="0" borderId="0" xfId="0" applyNumberFormat="1" applyFont="1"/>
    <xf numFmtId="4" fontId="11" fillId="2" borderId="0" xfId="0" applyNumberFormat="1" applyFont="1" applyFill="1"/>
    <xf numFmtId="164" fontId="11" fillId="2" borderId="0" xfId="0" applyNumberFormat="1" applyFont="1" applyFill="1" applyAlignment="1">
      <alignment horizontal="right"/>
    </xf>
    <xf numFmtId="0" fontId="5" fillId="7" borderId="0" xfId="0" applyFont="1" applyFill="1"/>
    <xf numFmtId="4" fontId="5" fillId="7" borderId="0" xfId="0" applyNumberFormat="1" applyFont="1" applyFill="1"/>
    <xf numFmtId="164" fontId="5" fillId="7" borderId="0" xfId="0" applyNumberFormat="1" applyFont="1" applyFill="1"/>
    <xf numFmtId="0" fontId="6" fillId="7" borderId="0" xfId="0" applyFont="1" applyFill="1" applyAlignment="1">
      <alignment horizontal="right"/>
    </xf>
    <xf numFmtId="4" fontId="6" fillId="7" borderId="0" xfId="0" applyNumberFormat="1" applyFont="1" applyFill="1" applyAlignment="1">
      <alignment horizontal="right"/>
    </xf>
    <xf numFmtId="164" fontId="6" fillId="7" borderId="0" xfId="0" applyNumberFormat="1" applyFont="1" applyFill="1" applyAlignment="1">
      <alignment horizontal="right"/>
    </xf>
    <xf numFmtId="4" fontId="6" fillId="7" borderId="0" xfId="0" applyNumberFormat="1" applyFont="1" applyFill="1"/>
    <xf numFmtId="164" fontId="10" fillId="7" borderId="0" xfId="0" applyNumberFormat="1" applyFont="1" applyFill="1"/>
    <xf numFmtId="0" fontId="5" fillId="7" borderId="0" xfId="0" applyFont="1" applyFill="1" applyAlignment="1">
      <alignment horizontal="left"/>
    </xf>
    <xf numFmtId="0" fontId="1" fillId="7" borderId="0" xfId="0" applyFont="1" applyFill="1" applyAlignment="1">
      <alignment vertical="center"/>
    </xf>
    <xf numFmtId="4" fontId="7" fillId="7" borderId="0" xfId="0" applyNumberFormat="1" applyFont="1" applyFill="1"/>
    <xf numFmtId="4" fontId="8" fillId="7" borderId="0" xfId="0" applyNumberFormat="1" applyFont="1" applyFill="1" applyAlignment="1">
      <alignment horizontal="right"/>
    </xf>
    <xf numFmtId="1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86D5C-651A-4899-B326-CFC01708F186}">
  <dimension ref="A1:Q73"/>
  <sheetViews>
    <sheetView zoomScaleNormal="100" workbookViewId="0">
      <pane ySplit="2" topLeftCell="A23" activePane="bottomLeft" state="frozen"/>
      <selection pane="bottomLeft" activeCell="G34" sqref="G34"/>
    </sheetView>
  </sheetViews>
  <sheetFormatPr baseColWidth="10" defaultColWidth="8.83203125" defaultRowHeight="15" x14ac:dyDescent="0.2"/>
  <cols>
    <col min="1" max="1" width="36.6640625" customWidth="1"/>
    <col min="2" max="2" width="17" customWidth="1"/>
    <col min="3" max="4" width="7.1640625" bestFit="1" customWidth="1"/>
    <col min="5" max="5" width="11.5" style="46" bestFit="1" customWidth="1"/>
    <col min="6" max="6" width="9.5" customWidth="1"/>
    <col min="7" max="8" width="8.5" bestFit="1" customWidth="1"/>
    <col min="9" max="9" width="11.5" style="46" bestFit="1" customWidth="1"/>
    <col min="10" max="10" width="8.5" customWidth="1"/>
    <col min="11" max="12" width="8.5" bestFit="1" customWidth="1"/>
    <col min="13" max="13" width="11.5" style="46" bestFit="1" customWidth="1"/>
    <col min="15" max="15" width="24.83203125" style="1" bestFit="1" customWidth="1"/>
    <col min="16" max="17" width="5.1640625" style="1" bestFit="1" customWidth="1"/>
  </cols>
  <sheetData>
    <row r="1" spans="1:17" ht="16" x14ac:dyDescent="0.2">
      <c r="A1" s="2"/>
      <c r="B1" s="49" t="s">
        <v>1</v>
      </c>
      <c r="C1" s="49"/>
      <c r="D1" s="49"/>
      <c r="E1" s="50"/>
      <c r="F1" s="49" t="s">
        <v>2</v>
      </c>
      <c r="G1" s="49"/>
      <c r="H1" s="49"/>
      <c r="I1" s="50"/>
      <c r="J1" s="49" t="s">
        <v>3</v>
      </c>
      <c r="K1" s="49"/>
      <c r="L1" s="49"/>
      <c r="M1" s="50"/>
    </row>
    <row r="2" spans="1:17" ht="16" x14ac:dyDescent="0.2">
      <c r="A2" s="3" t="s">
        <v>4</v>
      </c>
      <c r="B2" s="3">
        <v>2019</v>
      </c>
      <c r="C2" s="3">
        <v>2020</v>
      </c>
      <c r="D2" s="3">
        <v>2021</v>
      </c>
      <c r="E2" s="36" t="s">
        <v>14</v>
      </c>
      <c r="F2" s="3">
        <v>2019</v>
      </c>
      <c r="G2" s="3">
        <v>2020</v>
      </c>
      <c r="H2" s="3">
        <v>2021</v>
      </c>
      <c r="I2" s="36" t="s">
        <v>14</v>
      </c>
      <c r="J2" s="3">
        <v>2019</v>
      </c>
      <c r="K2" s="3">
        <v>2020</v>
      </c>
      <c r="L2" s="3">
        <v>2021</v>
      </c>
      <c r="M2" s="36" t="s">
        <v>14</v>
      </c>
    </row>
    <row r="3" spans="1:17" x14ac:dyDescent="0.2">
      <c r="A3" s="51" t="s">
        <v>17</v>
      </c>
      <c r="B3" s="52">
        <v>1.3498433889178822</v>
      </c>
      <c r="C3" s="52">
        <v>1.3287252441856174</v>
      </c>
      <c r="D3" s="52">
        <v>1.5724949210563761</v>
      </c>
      <c r="E3" s="53">
        <v>18.346131221444985</v>
      </c>
      <c r="F3" s="52">
        <v>7.8807379244721076</v>
      </c>
      <c r="G3" s="52">
        <v>9.9233744200740599</v>
      </c>
      <c r="H3" s="52">
        <v>13.821978752447906</v>
      </c>
      <c r="I3" s="53">
        <v>39.287082874625128</v>
      </c>
      <c r="J3" s="52">
        <v>16.198283410000002</v>
      </c>
      <c r="K3" s="52">
        <v>16.491835744999999</v>
      </c>
      <c r="L3" s="52">
        <v>25.888275660300003</v>
      </c>
      <c r="M3" s="53">
        <f>100*(L3-K3)/K3</f>
        <v>56.976312768266681</v>
      </c>
    </row>
    <row r="4" spans="1:17" x14ac:dyDescent="0.2">
      <c r="A4" s="51" t="s">
        <v>18</v>
      </c>
      <c r="B4" s="52">
        <v>1.1894120817976837</v>
      </c>
      <c r="C4" s="52">
        <v>1.5114707019493709</v>
      </c>
      <c r="D4" s="52">
        <v>0.3205105244282373</v>
      </c>
      <c r="E4" s="53">
        <v>-78.794790794497757</v>
      </c>
      <c r="F4" s="52">
        <v>2.8420598737234108</v>
      </c>
      <c r="G4" s="52">
        <v>4.4753588646890101</v>
      </c>
      <c r="H4" s="52">
        <v>0.9159418480874546</v>
      </c>
      <c r="I4" s="53">
        <v>-79.533667002342114</v>
      </c>
      <c r="J4" s="52">
        <v>15.110093940000001</v>
      </c>
      <c r="K4" s="52">
        <v>13.4470969161</v>
      </c>
      <c r="L4" s="52">
        <v>9.9218745995000006</v>
      </c>
      <c r="M4" s="53">
        <f t="shared" ref="M4:M59" si="0">100*(L4-K4)/K4</f>
        <v>-26.215489771471084</v>
      </c>
    </row>
    <row r="5" spans="1:17" x14ac:dyDescent="0.2">
      <c r="A5" s="51" t="s">
        <v>19</v>
      </c>
      <c r="B5" s="52">
        <v>0.63226026678957392</v>
      </c>
      <c r="C5" s="52">
        <v>0.39046257788721911</v>
      </c>
      <c r="D5" s="52">
        <v>0.33599279000891857</v>
      </c>
      <c r="E5" s="53">
        <v>-13.9500661428388</v>
      </c>
      <c r="F5" s="52">
        <v>3.9612736896358962</v>
      </c>
      <c r="G5" s="52">
        <v>1.8874305136949063</v>
      </c>
      <c r="H5" s="52">
        <v>1.6861381235752952</v>
      </c>
      <c r="I5" s="53">
        <v>-10.664890106367592</v>
      </c>
      <c r="J5" s="52">
        <v>24.278850419999998</v>
      </c>
      <c r="K5" s="52">
        <v>23.798591727199998</v>
      </c>
      <c r="L5" s="52">
        <v>19.850851135200006</v>
      </c>
      <c r="M5" s="53">
        <f t="shared" si="0"/>
        <v>-16.588126882684495</v>
      </c>
    </row>
    <row r="6" spans="1:17" x14ac:dyDescent="0.2">
      <c r="A6" s="51" t="s">
        <v>20</v>
      </c>
      <c r="B6" s="52">
        <v>1.450313574359257</v>
      </c>
      <c r="C6" s="52">
        <v>4.9655254728719518</v>
      </c>
      <c r="D6" s="52">
        <v>1.4900964924344777</v>
      </c>
      <c r="E6" s="53">
        <v>-69.991162051724643</v>
      </c>
      <c r="F6" s="52">
        <v>0.78064077910932173</v>
      </c>
      <c r="G6" s="52">
        <v>4.8605093507288277</v>
      </c>
      <c r="H6" s="52">
        <v>1.0537557184829573</v>
      </c>
      <c r="I6" s="53">
        <v>-78.320055729859916</v>
      </c>
      <c r="J6" s="52">
        <v>7.4122446999999996</v>
      </c>
      <c r="K6" s="52">
        <v>12.240919845000001</v>
      </c>
      <c r="L6" s="52">
        <v>7.1703438425999995</v>
      </c>
      <c r="M6" s="53">
        <f t="shared" si="0"/>
        <v>-41.423161548363204</v>
      </c>
    </row>
    <row r="7" spans="1:17" x14ac:dyDescent="0.2">
      <c r="A7" s="51" t="s">
        <v>21</v>
      </c>
      <c r="B7" s="52">
        <v>0.17830322567155488</v>
      </c>
      <c r="C7" s="52">
        <v>0.29214288214188505</v>
      </c>
      <c r="D7" s="52">
        <v>0.49565455288366866</v>
      </c>
      <c r="E7" s="53">
        <v>69.661690625392026</v>
      </c>
      <c r="F7" s="52">
        <v>0.94588712623856486</v>
      </c>
      <c r="G7" s="52">
        <v>1.0218986989206154</v>
      </c>
      <c r="H7" s="52">
        <v>2.4278539727198574</v>
      </c>
      <c r="I7" s="53">
        <v>137.58264642907247</v>
      </c>
      <c r="J7" s="52">
        <v>87.345174147999984</v>
      </c>
      <c r="K7" s="52">
        <v>126.59975968290001</v>
      </c>
      <c r="L7" s="52">
        <v>123.01626300399998</v>
      </c>
      <c r="M7" s="53">
        <f t="shared" si="0"/>
        <v>-2.8305714701795446</v>
      </c>
    </row>
    <row r="8" spans="1:17" s="7" customFormat="1" x14ac:dyDescent="0.2">
      <c r="A8" s="54" t="s">
        <v>5</v>
      </c>
      <c r="B8" s="55">
        <f>SUM(B3:B7)</f>
        <v>4.8001325375359523</v>
      </c>
      <c r="C8" s="55">
        <f t="shared" ref="C8:H8" si="1">SUM(C3:C7)</f>
        <v>8.4883268790360447</v>
      </c>
      <c r="D8" s="55">
        <f t="shared" si="1"/>
        <v>4.2147492808116782</v>
      </c>
      <c r="E8" s="56">
        <f>100*(D8-C8)/C8</f>
        <v>-50.346524811373484</v>
      </c>
      <c r="F8" s="55">
        <f t="shared" si="1"/>
        <v>16.4105993931793</v>
      </c>
      <c r="G8" s="55">
        <f t="shared" si="1"/>
        <v>22.168571848107419</v>
      </c>
      <c r="H8" s="55">
        <f t="shared" si="1"/>
        <v>19.905668415313471</v>
      </c>
      <c r="I8" s="56">
        <f>100*(H8-G8)/G8</f>
        <v>-10.207709582280273</v>
      </c>
      <c r="J8" s="57">
        <f>SUM(J3:J7)+3.3353893</f>
        <v>153.68003591799999</v>
      </c>
      <c r="K8" s="57">
        <f>SUM(K3:K7)+1.5379560836</f>
        <v>194.1161599998</v>
      </c>
      <c r="L8" s="57">
        <f>SUM(L3:L7)+8.2214594172</f>
        <v>194.06906765880001</v>
      </c>
      <c r="M8" s="58">
        <f t="shared" si="0"/>
        <v>-2.4259876663562687E-2</v>
      </c>
      <c r="O8" s="8"/>
      <c r="P8" s="8"/>
      <c r="Q8" s="8"/>
    </row>
    <row r="9" spans="1:17" x14ac:dyDescent="0.2">
      <c r="A9" s="54"/>
      <c r="B9" s="52"/>
      <c r="C9" s="52"/>
      <c r="D9" s="52"/>
      <c r="E9" s="53"/>
      <c r="F9" s="52"/>
      <c r="G9" s="52"/>
      <c r="H9" s="52"/>
      <c r="I9" s="53"/>
      <c r="J9" s="52"/>
      <c r="K9" s="52"/>
      <c r="L9" s="52"/>
      <c r="M9" s="53"/>
    </row>
    <row r="10" spans="1:17" x14ac:dyDescent="0.2">
      <c r="A10" s="59" t="s">
        <v>47</v>
      </c>
      <c r="B10" s="52">
        <v>86.488079999999997</v>
      </c>
      <c r="C10" s="52">
        <v>89.229939999999999</v>
      </c>
      <c r="D10" s="52">
        <v>81.121945081599989</v>
      </c>
      <c r="E10" s="53">
        <v>-9.0866304722383653</v>
      </c>
      <c r="F10" s="52">
        <v>635.28384700000004</v>
      </c>
      <c r="G10" s="52">
        <v>605.01566800000001</v>
      </c>
      <c r="H10" s="52">
        <v>663.90812600000004</v>
      </c>
      <c r="I10" s="53">
        <v>9.7340384910494642</v>
      </c>
      <c r="J10" s="52">
        <v>706.97569707799994</v>
      </c>
      <c r="K10" s="52">
        <v>710.51720567210009</v>
      </c>
      <c r="L10" s="52">
        <v>730.97373757449998</v>
      </c>
      <c r="M10" s="53">
        <f t="shared" si="0"/>
        <v>2.8791043677892958</v>
      </c>
    </row>
    <row r="11" spans="1:17" x14ac:dyDescent="0.2">
      <c r="A11" s="60" t="s">
        <v>48</v>
      </c>
      <c r="B11" s="52">
        <v>2.3858379454720002</v>
      </c>
      <c r="C11" s="52">
        <v>2.4355594793448936</v>
      </c>
      <c r="D11" s="52">
        <v>3.049204974472</v>
      </c>
      <c r="E11" s="53">
        <v>25.195258023103676</v>
      </c>
      <c r="F11" s="52">
        <v>32.328133000000001</v>
      </c>
      <c r="G11" s="52">
        <v>29.702079999999999</v>
      </c>
      <c r="H11" s="52">
        <v>39.013570999999999</v>
      </c>
      <c r="I11" s="53">
        <v>31.349626019457222</v>
      </c>
      <c r="J11" s="61">
        <v>43.022126469999996</v>
      </c>
      <c r="K11" s="52">
        <v>44.830703270000001</v>
      </c>
      <c r="L11" s="52">
        <v>46.008509379999992</v>
      </c>
      <c r="M11" s="53">
        <f t="shared" si="0"/>
        <v>2.6272309468501267</v>
      </c>
    </row>
    <row r="12" spans="1:17" s="7" customFormat="1" x14ac:dyDescent="0.2">
      <c r="A12" s="54" t="s">
        <v>6</v>
      </c>
      <c r="B12" s="55">
        <f>B10+B11</f>
        <v>88.873917945472002</v>
      </c>
      <c r="C12" s="55">
        <f t="shared" ref="C12:D12" si="2">C10+C11</f>
        <v>91.665499479344888</v>
      </c>
      <c r="D12" s="55">
        <f t="shared" si="2"/>
        <v>84.171150056071994</v>
      </c>
      <c r="E12" s="56">
        <f>100*(D12-C12)/C12</f>
        <v>-8.1757580178370226</v>
      </c>
      <c r="F12" s="55">
        <f>F10+F11</f>
        <v>667.61198000000002</v>
      </c>
      <c r="G12" s="55">
        <f t="shared" ref="G12:H12" si="3">G10+G11</f>
        <v>634.71774800000003</v>
      </c>
      <c r="H12" s="55">
        <f t="shared" si="3"/>
        <v>702.92169699999999</v>
      </c>
      <c r="I12" s="56">
        <f>100*(H12-G12)/G12</f>
        <v>10.745555676505198</v>
      </c>
      <c r="J12" s="62">
        <f>J10+J11</f>
        <v>749.99782354799993</v>
      </c>
      <c r="K12" s="62">
        <f t="shared" ref="K12:L12" si="4">K10+K11</f>
        <v>755.34790894210005</v>
      </c>
      <c r="L12" s="62">
        <f t="shared" si="4"/>
        <v>776.98224695449994</v>
      </c>
      <c r="M12" s="58">
        <f t="shared" si="0"/>
        <v>2.8641554118683921</v>
      </c>
      <c r="O12" s="8"/>
      <c r="P12" s="8"/>
      <c r="Q12" s="8"/>
    </row>
    <row r="13" spans="1:17" s="7" customFormat="1" x14ac:dyDescent="0.2">
      <c r="A13" s="54" t="s">
        <v>7</v>
      </c>
      <c r="B13" s="55">
        <f>B8+B12</f>
        <v>93.67405048300796</v>
      </c>
      <c r="C13" s="55">
        <f t="shared" ref="C13:D13" si="5">C8+C12</f>
        <v>100.15382635838094</v>
      </c>
      <c r="D13" s="55">
        <f t="shared" si="5"/>
        <v>88.385899336883668</v>
      </c>
      <c r="E13" s="56">
        <f>100*(D13-C13)/C13</f>
        <v>-11.749852651049036</v>
      </c>
      <c r="F13" s="55">
        <f>F8+F12</f>
        <v>684.02257939317929</v>
      </c>
      <c r="G13" s="55">
        <f t="shared" ref="G13:H13" si="6">G8+G12</f>
        <v>656.88631984810741</v>
      </c>
      <c r="H13" s="55">
        <f t="shared" si="6"/>
        <v>722.82736541531347</v>
      </c>
      <c r="I13" s="56">
        <f>100*(H13-G13)/G13</f>
        <v>10.038425763297017</v>
      </c>
      <c r="J13" s="62">
        <f>J8+J12</f>
        <v>903.67785946599997</v>
      </c>
      <c r="K13" s="62">
        <f t="shared" ref="K13:L13" si="7">K8+K12</f>
        <v>949.4640689419</v>
      </c>
      <c r="L13" s="62">
        <f t="shared" si="7"/>
        <v>971.05131461329995</v>
      </c>
      <c r="M13" s="58">
        <f t="shared" si="0"/>
        <v>2.2736242873790027</v>
      </c>
      <c r="O13" s="8"/>
      <c r="P13" s="8"/>
      <c r="Q13" s="8"/>
    </row>
    <row r="14" spans="1:17" x14ac:dyDescent="0.2">
      <c r="A14" s="4"/>
      <c r="B14" s="5"/>
      <c r="C14" s="5"/>
      <c r="D14" s="5"/>
      <c r="E14" s="39"/>
      <c r="F14" s="5"/>
      <c r="G14" s="5"/>
      <c r="H14" s="5"/>
      <c r="I14" s="39"/>
      <c r="J14" s="5"/>
      <c r="K14" s="5"/>
      <c r="L14" s="5"/>
      <c r="M14" s="48"/>
    </row>
    <row r="15" spans="1:17" x14ac:dyDescent="0.2">
      <c r="A15" s="9" t="s">
        <v>22</v>
      </c>
      <c r="B15" s="10">
        <v>4.623525809670685</v>
      </c>
      <c r="C15" s="10">
        <v>3.0476422030380932</v>
      </c>
      <c r="D15" s="10">
        <v>3.2204347098567436</v>
      </c>
      <c r="E15" s="37">
        <v>5.6697110522488279</v>
      </c>
      <c r="F15" s="10">
        <v>0.80850163392854513</v>
      </c>
      <c r="G15" s="10">
        <v>0.58991698698626593</v>
      </c>
      <c r="H15" s="10">
        <v>0.70997703752757335</v>
      </c>
      <c r="I15" s="37">
        <v>20.352024639036642</v>
      </c>
      <c r="J15" s="10">
        <v>14.223368539999999</v>
      </c>
      <c r="K15" s="10">
        <v>12.755933813099999</v>
      </c>
      <c r="L15" s="10">
        <v>14.065975787600001</v>
      </c>
      <c r="M15" s="37">
        <f t="shared" si="0"/>
        <v>10.270059359783012</v>
      </c>
    </row>
    <row r="16" spans="1:17" x14ac:dyDescent="0.2">
      <c r="A16" s="9" t="s">
        <v>23</v>
      </c>
      <c r="B16" s="10">
        <v>14.108456961000003</v>
      </c>
      <c r="C16" s="10">
        <v>8.2467628560000055</v>
      </c>
      <c r="D16" s="10">
        <v>10.244624330999999</v>
      </c>
      <c r="E16" s="37">
        <v>24.226008554937792</v>
      </c>
      <c r="F16" s="10">
        <v>8.0151521884501715</v>
      </c>
      <c r="G16" s="10">
        <v>6.641869035960438</v>
      </c>
      <c r="H16" s="10">
        <v>6.2917192245872116</v>
      </c>
      <c r="I16" s="37">
        <v>-5.2718566035771515</v>
      </c>
      <c r="J16" s="10">
        <v>22.793293793599997</v>
      </c>
      <c r="K16" s="10">
        <v>24.64523513</v>
      </c>
      <c r="L16" s="10">
        <v>29.745011880000003</v>
      </c>
      <c r="M16" s="37">
        <f t="shared" si="0"/>
        <v>20.692749422350527</v>
      </c>
    </row>
    <row r="17" spans="1:17" x14ac:dyDescent="0.2">
      <c r="A17" s="33" t="s">
        <v>24</v>
      </c>
      <c r="B17" s="10">
        <v>0.17098113036378484</v>
      </c>
      <c r="C17" s="10">
        <v>4.4611262999999998E-2</v>
      </c>
      <c r="D17" s="10">
        <v>0.13862009610000001</v>
      </c>
      <c r="E17" s="37">
        <v>210.72892085570413</v>
      </c>
      <c r="F17" s="10">
        <v>6.2391486802508922</v>
      </c>
      <c r="G17" s="10">
        <v>1.0805656767958398</v>
      </c>
      <c r="H17" s="10">
        <v>2.6678679645935239</v>
      </c>
      <c r="I17" s="37">
        <v>146.89549389579457</v>
      </c>
      <c r="J17" s="10">
        <v>2.5359878</v>
      </c>
      <c r="K17" s="10">
        <v>2.6299165599999998</v>
      </c>
      <c r="L17" s="10">
        <v>2.4652494799999998</v>
      </c>
      <c r="M17" s="37">
        <f t="shared" si="0"/>
        <v>-6.2613043510399464</v>
      </c>
    </row>
    <row r="18" spans="1:17" s="7" customFormat="1" x14ac:dyDescent="0.2">
      <c r="A18" s="11" t="s">
        <v>8</v>
      </c>
      <c r="B18" s="12">
        <f>SUM(B15:B17)</f>
        <v>18.902963901034475</v>
      </c>
      <c r="C18" s="12">
        <f t="shared" ref="C18:H18" si="8">SUM(C15:C17)</f>
        <v>11.339016322038098</v>
      </c>
      <c r="D18" s="12">
        <f t="shared" si="8"/>
        <v>13.603679136956742</v>
      </c>
      <c r="E18" s="38">
        <f>100*(D18-C18)/C18</f>
        <v>19.972304039435308</v>
      </c>
      <c r="F18" s="12">
        <f t="shared" si="8"/>
        <v>15.062802502629609</v>
      </c>
      <c r="G18" s="12">
        <f t="shared" si="8"/>
        <v>8.3123516997425426</v>
      </c>
      <c r="H18" s="12">
        <f t="shared" si="8"/>
        <v>9.6695642267083084</v>
      </c>
      <c r="I18" s="38">
        <f>100*(H18-G18)/G18</f>
        <v>16.327660041234811</v>
      </c>
      <c r="J18" s="13">
        <f>SUM(J15:J17)</f>
        <v>39.552650133599997</v>
      </c>
      <c r="K18" s="13">
        <f t="shared" ref="K18:L18" si="9">SUM(K15:K17)</f>
        <v>40.031085503099995</v>
      </c>
      <c r="L18" s="13">
        <f t="shared" si="9"/>
        <v>46.2762371476</v>
      </c>
      <c r="M18" s="38">
        <f t="shared" si="0"/>
        <v>15.600755178163686</v>
      </c>
      <c r="O18" s="8"/>
      <c r="P18" s="8"/>
      <c r="Q18" s="8"/>
    </row>
    <row r="19" spans="1:17" x14ac:dyDescent="0.2">
      <c r="A19" s="4"/>
      <c r="B19" s="5"/>
      <c r="C19" s="5"/>
      <c r="D19" s="5"/>
      <c r="E19" s="39"/>
      <c r="F19" s="5"/>
      <c r="G19" s="5"/>
      <c r="H19" s="5"/>
      <c r="I19" s="39"/>
      <c r="J19" s="5"/>
      <c r="K19" s="5"/>
      <c r="L19" s="5"/>
      <c r="M19" s="48"/>
    </row>
    <row r="20" spans="1:17" x14ac:dyDescent="0.2">
      <c r="A20" s="14" t="s">
        <v>25</v>
      </c>
      <c r="B20" s="15">
        <v>6.8085909900000008</v>
      </c>
      <c r="C20" s="15">
        <v>3.0007245</v>
      </c>
      <c r="D20" s="15">
        <v>2.7276775999999998</v>
      </c>
      <c r="E20" s="40">
        <v>-9.0993658364838303</v>
      </c>
      <c r="F20" s="15">
        <v>3.6489553981904561</v>
      </c>
      <c r="G20" s="15">
        <v>1.2080318578245719</v>
      </c>
      <c r="H20" s="15">
        <v>0.66150143388311999</v>
      </c>
      <c r="I20" s="40">
        <v>-45.241391640585192</v>
      </c>
      <c r="J20" s="15">
        <v>9.985915219999999</v>
      </c>
      <c r="K20" s="15">
        <v>2.7172940300000001</v>
      </c>
      <c r="L20" s="15">
        <v>2.5453847700000001</v>
      </c>
      <c r="M20" s="40">
        <f t="shared" si="0"/>
        <v>-6.3264872370105651</v>
      </c>
    </row>
    <row r="21" spans="1:17" x14ac:dyDescent="0.2">
      <c r="A21" s="14" t="s">
        <v>26</v>
      </c>
      <c r="B21" s="15">
        <v>99.685147760000007</v>
      </c>
      <c r="C21" s="15">
        <v>99.904126969999993</v>
      </c>
      <c r="D21" s="15">
        <v>67.575824049999994</v>
      </c>
      <c r="E21" s="40">
        <v>-32.359326787078373</v>
      </c>
      <c r="F21" s="15">
        <v>43.007455773842985</v>
      </c>
      <c r="G21" s="15">
        <v>33.312963726544687</v>
      </c>
      <c r="H21" s="15">
        <v>14.897766116071823</v>
      </c>
      <c r="I21" s="40">
        <v>-55.279373404411722</v>
      </c>
      <c r="J21" s="15">
        <v>105.45186406869999</v>
      </c>
      <c r="K21" s="15">
        <v>83.540591658500006</v>
      </c>
      <c r="L21" s="15">
        <v>69.134256521899999</v>
      </c>
      <c r="M21" s="40">
        <f t="shared" si="0"/>
        <v>-17.244712840304864</v>
      </c>
    </row>
    <row r="22" spans="1:17" x14ac:dyDescent="0.2">
      <c r="A22" s="14" t="s">
        <v>27</v>
      </c>
      <c r="B22" s="15">
        <v>3.1682898000000002</v>
      </c>
      <c r="C22" s="15">
        <v>3.11895225</v>
      </c>
      <c r="D22" s="15">
        <v>3.20927081</v>
      </c>
      <c r="E22" s="40">
        <v>2.8957981001472546</v>
      </c>
      <c r="F22" s="15">
        <v>46.296496270924841</v>
      </c>
      <c r="G22" s="15">
        <v>35.122217849203317</v>
      </c>
      <c r="H22" s="15">
        <v>43.535215283930398</v>
      </c>
      <c r="I22" s="40">
        <v>23.953491407769729</v>
      </c>
      <c r="J22" s="15">
        <v>71.430443055400005</v>
      </c>
      <c r="K22" s="15">
        <v>64.679690864500003</v>
      </c>
      <c r="L22" s="15">
        <v>89.876206010200008</v>
      </c>
      <c r="M22" s="40">
        <f t="shared" si="0"/>
        <v>38.955837309867732</v>
      </c>
    </row>
    <row r="23" spans="1:17" x14ac:dyDescent="0.2">
      <c r="A23" s="14" t="s">
        <v>28</v>
      </c>
      <c r="B23" s="15">
        <v>0.96348962999999999</v>
      </c>
      <c r="C23" s="15">
        <v>0.85692718999999995</v>
      </c>
      <c r="D23" s="15">
        <v>1.2554133700000003</v>
      </c>
      <c r="E23" s="40">
        <v>46.501754717340731</v>
      </c>
      <c r="F23" s="15">
        <v>5.9121517805451864</v>
      </c>
      <c r="G23" s="15">
        <v>4.3557601305065772</v>
      </c>
      <c r="H23" s="15">
        <v>4.7949637386970725</v>
      </c>
      <c r="I23" s="40">
        <v>10.083282711424602</v>
      </c>
      <c r="J23" s="15">
        <v>9.4554087000000013</v>
      </c>
      <c r="K23" s="15">
        <v>6.6557507500000002</v>
      </c>
      <c r="L23" s="15">
        <v>9.9776638090000027</v>
      </c>
      <c r="M23" s="40">
        <f t="shared" si="0"/>
        <v>49.910418580503524</v>
      </c>
    </row>
    <row r="24" spans="1:17" x14ac:dyDescent="0.2">
      <c r="A24" s="14" t="s">
        <v>29</v>
      </c>
      <c r="B24" s="15">
        <v>0.49198568999999998</v>
      </c>
      <c r="C24" s="15">
        <v>0.48600183000000002</v>
      </c>
      <c r="D24" s="15">
        <v>0.72300006999999988</v>
      </c>
      <c r="E24" s="40">
        <v>48.764886337979398</v>
      </c>
      <c r="F24" s="15">
        <v>0.8334569018791973</v>
      </c>
      <c r="G24" s="15">
        <v>0.79510209732410431</v>
      </c>
      <c r="H24" s="15">
        <v>1.1481274117830451</v>
      </c>
      <c r="I24" s="40">
        <v>44.39999789297984</v>
      </c>
      <c r="J24" s="15">
        <v>4.2556910750000005</v>
      </c>
      <c r="K24" s="15">
        <v>4.4950906675000004</v>
      </c>
      <c r="L24" s="15">
        <v>6.4184953179999988</v>
      </c>
      <c r="M24" s="40">
        <f t="shared" si="0"/>
        <v>42.789006780362079</v>
      </c>
    </row>
    <row r="25" spans="1:17" x14ac:dyDescent="0.2">
      <c r="A25" s="14" t="s">
        <v>30</v>
      </c>
      <c r="B25" s="15">
        <v>6.248994549999999</v>
      </c>
      <c r="C25" s="15">
        <v>7.07967719</v>
      </c>
      <c r="D25" s="15">
        <v>9.47715627</v>
      </c>
      <c r="E25" s="40">
        <v>33.864242897775398</v>
      </c>
      <c r="F25" s="15">
        <v>2.3241256746559862</v>
      </c>
      <c r="G25" s="15">
        <v>2.8560718964578666</v>
      </c>
      <c r="H25" s="15">
        <v>3.9697341186360995</v>
      </c>
      <c r="I25" s="40">
        <v>38.992793688401534</v>
      </c>
      <c r="J25" s="15">
        <v>7.3837461280000003</v>
      </c>
      <c r="K25" s="15">
        <v>7.3070027127000001</v>
      </c>
      <c r="L25" s="15">
        <v>8.4981666790999988</v>
      </c>
      <c r="M25" s="40">
        <f t="shared" si="0"/>
        <v>16.301676805589324</v>
      </c>
    </row>
    <row r="26" spans="1:17" x14ac:dyDescent="0.2">
      <c r="A26" s="14" t="s">
        <v>31</v>
      </c>
      <c r="B26" s="15">
        <v>15.572641100000002</v>
      </c>
      <c r="C26" s="15">
        <v>14.622562400000001</v>
      </c>
      <c r="D26" s="15">
        <v>16.014325709999998</v>
      </c>
      <c r="E26" s="40">
        <v>9.5179167093176247</v>
      </c>
      <c r="F26" s="15">
        <v>19.417450556562535</v>
      </c>
      <c r="G26" s="15">
        <v>16.436975737567444</v>
      </c>
      <c r="H26" s="15">
        <v>14.801912896466533</v>
      </c>
      <c r="I26" s="40">
        <v>-9.9474676315540318</v>
      </c>
      <c r="J26" s="15">
        <v>42.488096330000005</v>
      </c>
      <c r="K26" s="15">
        <v>32.967663608800002</v>
      </c>
      <c r="L26" s="15">
        <v>42.189541586000004</v>
      </c>
      <c r="M26" s="40">
        <f t="shared" si="0"/>
        <v>27.972494765259682</v>
      </c>
    </row>
    <row r="27" spans="1:17" x14ac:dyDescent="0.2">
      <c r="A27" s="14" t="s">
        <v>32</v>
      </c>
      <c r="B27" s="15">
        <v>2.4833083600000001</v>
      </c>
      <c r="C27" s="15">
        <v>2.4042059199999999</v>
      </c>
      <c r="D27" s="15">
        <v>3.03318391</v>
      </c>
      <c r="E27" s="40">
        <v>26.161568972428121</v>
      </c>
      <c r="F27" s="15">
        <v>28.735657717707557</v>
      </c>
      <c r="G27" s="15">
        <v>20.612414128408901</v>
      </c>
      <c r="H27" s="15">
        <v>24.988817938981772</v>
      </c>
      <c r="I27" s="40">
        <v>21.23188377309539</v>
      </c>
      <c r="J27" s="15">
        <v>34.605936840000005</v>
      </c>
      <c r="K27" s="15">
        <v>20.615239124999999</v>
      </c>
      <c r="L27" s="15">
        <v>30.8656539694</v>
      </c>
      <c r="M27" s="40">
        <f t="shared" si="0"/>
        <v>49.722512468794868</v>
      </c>
    </row>
    <row r="28" spans="1:17" x14ac:dyDescent="0.2">
      <c r="A28" s="14" t="s">
        <v>33</v>
      </c>
      <c r="B28" s="15">
        <v>0.32272922999999998</v>
      </c>
      <c r="C28" s="15">
        <v>0.27144324999999997</v>
      </c>
      <c r="D28" s="15">
        <v>0.34049797999999998</v>
      </c>
      <c r="E28" s="40">
        <v>25.43984055599099</v>
      </c>
      <c r="F28" s="15">
        <v>0.23247405944370184</v>
      </c>
      <c r="G28" s="15">
        <v>0.24934479478528743</v>
      </c>
      <c r="H28" s="15">
        <v>0.43836181889221015</v>
      </c>
      <c r="I28" s="40">
        <v>75.80548223181745</v>
      </c>
      <c r="J28" s="15">
        <v>0.53377324000000004</v>
      </c>
      <c r="K28" s="15">
        <v>1.18014796</v>
      </c>
      <c r="L28" s="15">
        <v>0.58624558999999998</v>
      </c>
      <c r="M28" s="40">
        <f t="shared" si="0"/>
        <v>-50.324399154153518</v>
      </c>
    </row>
    <row r="29" spans="1:17" x14ac:dyDescent="0.2">
      <c r="A29" s="14" t="s">
        <v>34</v>
      </c>
      <c r="B29" s="15">
        <v>2.7463454200000004</v>
      </c>
      <c r="C29" s="15">
        <v>2.8355666500000001</v>
      </c>
      <c r="D29" s="15">
        <v>3.59492397</v>
      </c>
      <c r="E29" s="40">
        <v>26.779738011095588</v>
      </c>
      <c r="F29" s="15">
        <v>3.9829283311499424</v>
      </c>
      <c r="G29" s="15">
        <v>3.313747760175584</v>
      </c>
      <c r="H29" s="15">
        <v>5.7554929694847319</v>
      </c>
      <c r="I29" s="40">
        <v>73.685306970370249</v>
      </c>
      <c r="J29" s="15">
        <v>9.1084108100000005</v>
      </c>
      <c r="K29" s="15">
        <v>9.7873688468000015</v>
      </c>
      <c r="L29" s="15">
        <v>11.6529908058</v>
      </c>
      <c r="M29" s="40">
        <f t="shared" si="0"/>
        <v>19.061527037575242</v>
      </c>
    </row>
    <row r="30" spans="1:17" x14ac:dyDescent="0.2">
      <c r="A30" s="32" t="s">
        <v>35</v>
      </c>
      <c r="B30" s="15">
        <v>0.23763084000000001</v>
      </c>
      <c r="C30" s="15">
        <v>0.17215323999999999</v>
      </c>
      <c r="D30" s="15">
        <v>0.17435593000000002</v>
      </c>
      <c r="E30" s="40">
        <v>1.2794937812381777</v>
      </c>
      <c r="F30" s="15">
        <v>0.35400002029960853</v>
      </c>
      <c r="G30" s="15">
        <v>0.26838335069912372</v>
      </c>
      <c r="H30" s="15">
        <v>0.29843833217869936</v>
      </c>
      <c r="I30" s="40">
        <v>11.198526809239128</v>
      </c>
      <c r="J30" s="15">
        <v>8.5670350499999994</v>
      </c>
      <c r="K30" s="15">
        <v>5.2593553611999999</v>
      </c>
      <c r="L30" s="15">
        <v>8.6318207880000006</v>
      </c>
      <c r="M30" s="40">
        <f t="shared" si="0"/>
        <v>64.123170905692945</v>
      </c>
    </row>
    <row r="31" spans="1:17" s="7" customFormat="1" x14ac:dyDescent="0.2">
      <c r="A31" s="16" t="s">
        <v>9</v>
      </c>
      <c r="B31" s="17">
        <f>SUM(B20:B30)</f>
        <v>138.72915337000001</v>
      </c>
      <c r="C31" s="17">
        <f t="shared" ref="C31:H31" si="10">SUM(C20:C30)</f>
        <v>134.75234139000003</v>
      </c>
      <c r="D31" s="17">
        <f t="shared" si="10"/>
        <v>108.12562966999998</v>
      </c>
      <c r="E31" s="41">
        <f>100*(D31-C31)/C31</f>
        <v>-19.759739567668849</v>
      </c>
      <c r="F31" s="17">
        <f t="shared" si="10"/>
        <v>154.74515248520203</v>
      </c>
      <c r="G31" s="17">
        <f t="shared" si="10"/>
        <v>118.53101332949747</v>
      </c>
      <c r="H31" s="17">
        <f t="shared" si="10"/>
        <v>115.29033205900549</v>
      </c>
      <c r="I31" s="41">
        <f>100*(H31-G31)/G31</f>
        <v>-2.7340365862589855</v>
      </c>
      <c r="J31" s="18">
        <f>SUM(J20:J30)</f>
        <v>303.26632051710004</v>
      </c>
      <c r="K31" s="18">
        <f t="shared" ref="K31:L31" si="11">SUM(K20:K30)</f>
        <v>239.20519558500001</v>
      </c>
      <c r="L31" s="18">
        <f t="shared" si="11"/>
        <v>280.37642584740001</v>
      </c>
      <c r="M31" s="41">
        <f t="shared" si="0"/>
        <v>17.211678936033007</v>
      </c>
      <c r="O31" s="8"/>
      <c r="P31" s="8"/>
      <c r="Q31" s="8"/>
    </row>
    <row r="32" spans="1:17" x14ac:dyDescent="0.2">
      <c r="A32" s="4"/>
      <c r="B32" s="5"/>
      <c r="C32" s="5"/>
      <c r="D32" s="5"/>
      <c r="E32" s="39"/>
      <c r="F32" s="5"/>
      <c r="G32" s="5"/>
      <c r="H32" s="5"/>
      <c r="I32" s="39"/>
      <c r="J32" s="5"/>
      <c r="K32" s="5"/>
      <c r="L32" s="5"/>
      <c r="M32" s="48"/>
    </row>
    <row r="33" spans="1:17" x14ac:dyDescent="0.2">
      <c r="A33" s="19" t="s">
        <v>36</v>
      </c>
      <c r="B33" s="20">
        <v>0.37812491806473003</v>
      </c>
      <c r="C33" s="20">
        <v>0.20464921372028</v>
      </c>
      <c r="D33" s="20">
        <v>0.32487477489962002</v>
      </c>
      <c r="E33" s="42">
        <v>58.747140530755971</v>
      </c>
      <c r="F33" s="20">
        <v>1.5097821569459815</v>
      </c>
      <c r="G33" s="20">
        <v>0.82220609617355489</v>
      </c>
      <c r="H33" s="20">
        <v>1.3854764643409603</v>
      </c>
      <c r="I33" s="42">
        <v>68.50719920331359</v>
      </c>
      <c r="J33" s="20">
        <v>14.08846424</v>
      </c>
      <c r="K33" s="20">
        <v>4.2246633316000004</v>
      </c>
      <c r="L33" s="20">
        <v>8.3520654912999994</v>
      </c>
      <c r="M33" s="42">
        <f t="shared" si="0"/>
        <v>97.697776976155737</v>
      </c>
    </row>
    <row r="34" spans="1:17" x14ac:dyDescent="0.2">
      <c r="A34" s="19" t="s">
        <v>37</v>
      </c>
      <c r="B34" s="20">
        <v>8.3250930000000007</v>
      </c>
      <c r="C34" s="20">
        <v>9.2879839999999998</v>
      </c>
      <c r="D34" s="20">
        <v>9.7121929999999992</v>
      </c>
      <c r="E34" s="42">
        <v>4.5672882296093471</v>
      </c>
      <c r="F34" s="20">
        <v>92.042924529222731</v>
      </c>
      <c r="G34" s="20">
        <v>93.242545913824827</v>
      </c>
      <c r="H34" s="20">
        <v>150.45419596739791</v>
      </c>
      <c r="I34" s="42">
        <v>61.357880667960679</v>
      </c>
      <c r="J34" s="20">
        <v>173.13451707999999</v>
      </c>
      <c r="K34" s="20">
        <v>120.37666878000002</v>
      </c>
      <c r="L34" s="20">
        <v>209.77070956999998</v>
      </c>
      <c r="M34" s="42">
        <f t="shared" si="0"/>
        <v>74.261932728323131</v>
      </c>
    </row>
    <row r="35" spans="1:17" x14ac:dyDescent="0.2">
      <c r="A35" s="19" t="s">
        <v>38</v>
      </c>
      <c r="B35" s="20">
        <v>1.3518140000000001</v>
      </c>
      <c r="C35" s="20">
        <v>1.1910940000000001</v>
      </c>
      <c r="D35" s="20">
        <v>1.2876939999999999</v>
      </c>
      <c r="E35" s="42">
        <v>8.1101911352084546</v>
      </c>
      <c r="F35" s="20">
        <v>54.90118149400832</v>
      </c>
      <c r="G35" s="20">
        <v>36.315062271986683</v>
      </c>
      <c r="H35" s="20">
        <v>43.148890467497409</v>
      </c>
      <c r="I35" s="42">
        <v>18.81816460709285</v>
      </c>
      <c r="J35" s="20">
        <v>54.835252600000004</v>
      </c>
      <c r="K35" s="20">
        <v>40.6554973</v>
      </c>
      <c r="L35" s="20">
        <v>52.895003500000001</v>
      </c>
      <c r="M35" s="42">
        <f t="shared" si="0"/>
        <v>30.10541504309677</v>
      </c>
    </row>
    <row r="36" spans="1:17" x14ac:dyDescent="0.2">
      <c r="A36" s="19" t="s">
        <v>39</v>
      </c>
      <c r="B36" s="20">
        <v>1.982434</v>
      </c>
      <c r="C36" s="20">
        <v>2.0479829999999999</v>
      </c>
      <c r="D36" s="20">
        <v>1.5863669999999999</v>
      </c>
      <c r="E36" s="42">
        <v>-22.540030849865452</v>
      </c>
      <c r="F36" s="20">
        <v>33.718105299911393</v>
      </c>
      <c r="G36" s="20">
        <v>26.575580455122527</v>
      </c>
      <c r="H36" s="20">
        <v>30.257773510159186</v>
      </c>
      <c r="I36" s="42">
        <v>13.855550817618756</v>
      </c>
      <c r="J36" s="20">
        <v>61.039350620000008</v>
      </c>
      <c r="K36" s="20">
        <v>40.436643250000003</v>
      </c>
      <c r="L36" s="20">
        <v>59.391939496400006</v>
      </c>
      <c r="M36" s="42">
        <f t="shared" si="0"/>
        <v>46.876532577663951</v>
      </c>
    </row>
    <row r="37" spans="1:17" x14ac:dyDescent="0.2">
      <c r="A37" s="19" t="s">
        <v>40</v>
      </c>
      <c r="B37" s="20">
        <v>1.6914179100000002</v>
      </c>
      <c r="C37" s="20">
        <v>1.5816555299999999</v>
      </c>
      <c r="D37" s="20">
        <v>1.6520731499999999</v>
      </c>
      <c r="E37" s="42">
        <v>4.4521464164829849</v>
      </c>
      <c r="F37" s="20">
        <v>9.8737347696668092</v>
      </c>
      <c r="G37" s="20">
        <v>7.9150586356655799</v>
      </c>
      <c r="H37" s="20">
        <v>9.4591017009307805</v>
      </c>
      <c r="I37" s="42">
        <v>19.50766426805329</v>
      </c>
      <c r="J37" s="20">
        <v>12.300041330000001</v>
      </c>
      <c r="K37" s="20">
        <v>12.310560000000001</v>
      </c>
      <c r="L37" s="20">
        <v>8.615653</v>
      </c>
      <c r="M37" s="42">
        <f t="shared" si="0"/>
        <v>-30.014126083622518</v>
      </c>
    </row>
    <row r="38" spans="1:17" x14ac:dyDescent="0.2">
      <c r="A38" s="19" t="s">
        <v>41</v>
      </c>
      <c r="B38" s="20">
        <v>0.23910800000000001</v>
      </c>
      <c r="C38" s="20">
        <v>0.20915799999999998</v>
      </c>
      <c r="D38" s="20">
        <v>0.29199999999999998</v>
      </c>
      <c r="E38" s="42">
        <v>39.60737815431397</v>
      </c>
      <c r="F38" s="20">
        <v>1.2304279975247718</v>
      </c>
      <c r="G38" s="20">
        <v>0.90753647323115083</v>
      </c>
      <c r="H38" s="20">
        <v>1.250792253857727</v>
      </c>
      <c r="I38" s="42">
        <v>37.82280831143504</v>
      </c>
      <c r="J38" s="20">
        <v>1.975525</v>
      </c>
      <c r="K38" s="20">
        <v>2.1402299999999999</v>
      </c>
      <c r="L38" s="20">
        <v>2.9624395500000005</v>
      </c>
      <c r="M38" s="42">
        <f t="shared" si="0"/>
        <v>38.416878092541488</v>
      </c>
    </row>
    <row r="39" spans="1:17" x14ac:dyDescent="0.2">
      <c r="A39" s="19" t="s">
        <v>42</v>
      </c>
      <c r="B39" s="20">
        <v>2.9300390000000003</v>
      </c>
      <c r="C39" s="20">
        <v>3.6927739556500101</v>
      </c>
      <c r="D39" s="20">
        <v>3.4388788016891003</v>
      </c>
      <c r="E39" s="42">
        <v>-6.8754588558675698</v>
      </c>
      <c r="F39" s="20">
        <v>7.0759633394427208</v>
      </c>
      <c r="G39" s="20">
        <v>9.6510284264353761</v>
      </c>
      <c r="H39" s="20">
        <v>8.4172376860943583</v>
      </c>
      <c r="I39" s="42">
        <v>-12.78403384411873</v>
      </c>
      <c r="J39" s="20">
        <v>24.1316847091</v>
      </c>
      <c r="K39" s="20">
        <v>14.808796309999998</v>
      </c>
      <c r="L39" s="20">
        <v>14.806902750000001</v>
      </c>
      <c r="M39" s="42">
        <f t="shared" si="0"/>
        <v>-1.2786724595021509E-2</v>
      </c>
    </row>
    <row r="40" spans="1:17" x14ac:dyDescent="0.2">
      <c r="A40" s="19" t="s">
        <v>43</v>
      </c>
      <c r="B40" s="20">
        <v>0.95607600000000004</v>
      </c>
      <c r="C40" s="20">
        <v>0.64900199999999997</v>
      </c>
      <c r="D40" s="20">
        <v>0.16678899999999999</v>
      </c>
      <c r="E40" s="42">
        <v>-74.300695529443672</v>
      </c>
      <c r="F40" s="20">
        <v>3.8928420209215862</v>
      </c>
      <c r="G40" s="20">
        <v>1.9581841999416933</v>
      </c>
      <c r="H40" s="20">
        <v>1.5222694571453619</v>
      </c>
      <c r="I40" s="42">
        <v>-22.261171487815663</v>
      </c>
      <c r="J40" s="20">
        <v>16.64723369</v>
      </c>
      <c r="K40" s="20">
        <v>13.274419129999998</v>
      </c>
      <c r="L40" s="20">
        <v>4.1031567100000004</v>
      </c>
      <c r="M40" s="42">
        <f t="shared" si="0"/>
        <v>-69.089745699479053</v>
      </c>
    </row>
    <row r="41" spans="1:17" x14ac:dyDescent="0.2">
      <c r="A41" s="21" t="s">
        <v>44</v>
      </c>
      <c r="B41" s="20">
        <v>0.24847558488711202</v>
      </c>
      <c r="C41" s="20">
        <v>0.24176238121527999</v>
      </c>
      <c r="D41" s="20">
        <v>0.28962862811473999</v>
      </c>
      <c r="E41" s="42">
        <v>19.798881306036183</v>
      </c>
      <c r="F41" s="20">
        <v>0.4225338256949</v>
      </c>
      <c r="G41" s="20">
        <v>0.49382416078646307</v>
      </c>
      <c r="H41" s="20">
        <v>0.50967641694632038</v>
      </c>
      <c r="I41" s="42">
        <v>3.2101013718346709</v>
      </c>
      <c r="J41" s="20">
        <v>15.977640220000001</v>
      </c>
      <c r="K41" s="20">
        <v>13.098746589999999</v>
      </c>
      <c r="L41" s="20">
        <v>20.103877749999999</v>
      </c>
      <c r="M41" s="42">
        <f t="shared" si="0"/>
        <v>53.479400581334552</v>
      </c>
    </row>
    <row r="42" spans="1:17" s="7" customFormat="1" x14ac:dyDescent="0.2">
      <c r="A42" s="22" t="s">
        <v>10</v>
      </c>
      <c r="B42" s="23">
        <f>SUM(B33:B41)</f>
        <v>18.10258241295184</v>
      </c>
      <c r="C42" s="23">
        <f t="shared" ref="C42:H42" si="12">SUM(C33:C41)</f>
        <v>19.10606208058557</v>
      </c>
      <c r="D42" s="23">
        <f t="shared" si="12"/>
        <v>18.75049835470346</v>
      </c>
      <c r="E42" s="43">
        <f>100*(D42-C42)/C42</f>
        <v>-1.8609995318889521</v>
      </c>
      <c r="F42" s="23">
        <f t="shared" si="12"/>
        <v>204.66749543333924</v>
      </c>
      <c r="G42" s="23">
        <f t="shared" si="12"/>
        <v>177.88102663316783</v>
      </c>
      <c r="H42" s="23">
        <f t="shared" si="12"/>
        <v>246.40541392437001</v>
      </c>
      <c r="I42" s="43">
        <f>100*(H42-G42)/G42</f>
        <v>38.52259489850789</v>
      </c>
      <c r="J42" s="23">
        <f>SUM(J33:J41)</f>
        <v>374.12970948910004</v>
      </c>
      <c r="K42" s="23">
        <f t="shared" ref="K42:L42" si="13">SUM(K33:K41)</f>
        <v>261.32622469160003</v>
      </c>
      <c r="L42" s="23">
        <f t="shared" si="13"/>
        <v>381.00174781770005</v>
      </c>
      <c r="M42" s="43">
        <f t="shared" si="0"/>
        <v>45.795450979836858</v>
      </c>
      <c r="O42" s="8"/>
      <c r="P42" s="8"/>
      <c r="Q42" s="8"/>
    </row>
    <row r="43" spans="1:17" x14ac:dyDescent="0.2">
      <c r="A43" s="22"/>
      <c r="B43" s="23"/>
      <c r="C43" s="23"/>
      <c r="D43" s="23"/>
      <c r="E43" s="42"/>
      <c r="F43" s="23"/>
      <c r="G43" s="23"/>
      <c r="H43" s="23"/>
      <c r="I43" s="42"/>
      <c r="J43" s="20"/>
      <c r="K43" s="20"/>
      <c r="L43" s="20"/>
      <c r="M43" s="42"/>
    </row>
    <row r="44" spans="1:17" x14ac:dyDescent="0.2">
      <c r="A44" s="24" t="s">
        <v>49</v>
      </c>
      <c r="B44" s="23">
        <v>1.1122842410480001</v>
      </c>
      <c r="C44" s="23">
        <v>0.83060270186399943</v>
      </c>
      <c r="D44" s="23">
        <v>0.99195671606399982</v>
      </c>
      <c r="E44" s="42">
        <v>19.426136447413104</v>
      </c>
      <c r="F44" s="23">
        <v>9.3714300000000001</v>
      </c>
      <c r="G44" s="23">
        <v>6.2021740000000003</v>
      </c>
      <c r="H44" s="23">
        <v>8.4378899999999994</v>
      </c>
      <c r="I44" s="42">
        <v>36.047295674065239</v>
      </c>
      <c r="J44" s="20">
        <v>31.30251887</v>
      </c>
      <c r="K44" s="25">
        <v>8.0370950772</v>
      </c>
      <c r="L44" s="20">
        <v>11.440059998700001</v>
      </c>
      <c r="M44" s="42">
        <f t="shared" si="0"/>
        <v>42.340732426491847</v>
      </c>
    </row>
    <row r="45" spans="1:17" x14ac:dyDescent="0.2">
      <c r="A45" s="31" t="s">
        <v>50</v>
      </c>
      <c r="B45" s="23">
        <v>0.7273914709999999</v>
      </c>
      <c r="C45" s="23">
        <v>0.54800354606400004</v>
      </c>
      <c r="D45" s="23">
        <v>0.48059750690399999</v>
      </c>
      <c r="E45" s="42">
        <v>-12.300292515283806</v>
      </c>
      <c r="F45" s="23">
        <v>4.8749169999999999</v>
      </c>
      <c r="G45" s="23">
        <v>3.410536</v>
      </c>
      <c r="H45" s="23">
        <v>2.4961609999999999</v>
      </c>
      <c r="I45" s="42">
        <v>-26.810301958401851</v>
      </c>
      <c r="J45" s="20">
        <v>3.25231285</v>
      </c>
      <c r="K45" s="20">
        <v>2.0521749600000003</v>
      </c>
      <c r="L45" s="20">
        <v>9.9500039400000002</v>
      </c>
      <c r="M45" s="42">
        <f t="shared" si="0"/>
        <v>384.85163955026513</v>
      </c>
    </row>
    <row r="46" spans="1:17" x14ac:dyDescent="0.2">
      <c r="A46" s="24" t="s">
        <v>51</v>
      </c>
      <c r="B46" s="23">
        <v>7.7789899446699984</v>
      </c>
      <c r="C46" s="23">
        <v>5.156088924395001</v>
      </c>
      <c r="D46" s="23">
        <v>7.9969919271250003</v>
      </c>
      <c r="E46" s="42">
        <v>55.098021860888323</v>
      </c>
      <c r="F46" s="23">
        <v>17.739182</v>
      </c>
      <c r="G46" s="23">
        <v>13.434747</v>
      </c>
      <c r="H46" s="23">
        <v>20.061032999999998</v>
      </c>
      <c r="I46" s="42">
        <v>49.322000630157</v>
      </c>
      <c r="J46" s="20">
        <v>28.318716850000001</v>
      </c>
      <c r="K46" s="20">
        <v>19.524409719999998</v>
      </c>
      <c r="L46" s="20">
        <v>32.274329909999999</v>
      </c>
      <c r="M46" s="42">
        <f t="shared" si="0"/>
        <v>65.302461753501873</v>
      </c>
    </row>
    <row r="47" spans="1:17" x14ac:dyDescent="0.2">
      <c r="A47" s="31" t="s">
        <v>52</v>
      </c>
      <c r="B47" s="23">
        <v>7.5663886786666676E-2</v>
      </c>
      <c r="C47" s="23">
        <v>0.11778144815999998</v>
      </c>
      <c r="D47" s="23">
        <v>4.0829972999999999E-2</v>
      </c>
      <c r="E47" s="42">
        <v>-65.334122106790019</v>
      </c>
      <c r="F47" s="23">
        <v>1.075742</v>
      </c>
      <c r="G47" s="23">
        <v>1.67038</v>
      </c>
      <c r="H47" s="23">
        <v>1.085189</v>
      </c>
      <c r="I47" s="42">
        <v>-35.03340557238473</v>
      </c>
      <c r="J47" s="20">
        <v>2.79093393</v>
      </c>
      <c r="K47" s="20">
        <v>4.9466716145999996</v>
      </c>
      <c r="L47" s="20">
        <v>5.7125266332999995</v>
      </c>
      <c r="M47" s="42">
        <f t="shared" si="0"/>
        <v>15.48222882714904</v>
      </c>
    </row>
    <row r="48" spans="1:17" s="7" customFormat="1" x14ac:dyDescent="0.2">
      <c r="A48" s="22" t="s">
        <v>11</v>
      </c>
      <c r="B48" s="23">
        <f>SUM(B44:B47)</f>
        <v>9.6943295435046632</v>
      </c>
      <c r="C48" s="23">
        <f t="shared" ref="C48:D48" si="14">SUM(C44:C47)</f>
        <v>6.6524766204830001</v>
      </c>
      <c r="D48" s="23">
        <f t="shared" si="14"/>
        <v>9.5103761230929997</v>
      </c>
      <c r="E48" s="43">
        <f>100*(D48-C48)/C48</f>
        <v>42.959933054263075</v>
      </c>
      <c r="F48" s="23">
        <f>SUM(F44:F47)</f>
        <v>33.061270999999998</v>
      </c>
      <c r="G48" s="23">
        <f t="shared" ref="G48:H48" si="15">SUM(G44:G47)</f>
        <v>24.717837000000003</v>
      </c>
      <c r="H48" s="23">
        <f t="shared" si="15"/>
        <v>32.080272999999998</v>
      </c>
      <c r="I48" s="43">
        <f>100*(H48-G48)/G48</f>
        <v>29.785923420402824</v>
      </c>
      <c r="J48" s="23">
        <f>SUM(J44:J47)</f>
        <v>65.664482500000005</v>
      </c>
      <c r="K48" s="23">
        <f t="shared" ref="K48:L48" si="16">SUM(K44:K47)</f>
        <v>34.560351371799996</v>
      </c>
      <c r="L48" s="23">
        <f t="shared" si="16"/>
        <v>59.376920482000003</v>
      </c>
      <c r="M48" s="43">
        <f t="shared" si="0"/>
        <v>71.806472229473442</v>
      </c>
      <c r="O48" s="8"/>
      <c r="P48" s="8"/>
      <c r="Q48" s="8"/>
    </row>
    <row r="49" spans="1:17" s="7" customFormat="1" x14ac:dyDescent="0.2">
      <c r="A49" s="22" t="s">
        <v>12</v>
      </c>
      <c r="B49" s="23">
        <f>B42+B48</f>
        <v>27.796911956456505</v>
      </c>
      <c r="C49" s="23">
        <f t="shared" ref="C49:D49" si="17">C42+C48</f>
        <v>25.75853870106857</v>
      </c>
      <c r="D49" s="23">
        <f t="shared" si="17"/>
        <v>28.26087447779646</v>
      </c>
      <c r="E49" s="43">
        <f>100*(D49-C49)/C49</f>
        <v>9.7145874840488613</v>
      </c>
      <c r="F49" s="23">
        <f>F42+F48</f>
        <v>237.72876643333925</v>
      </c>
      <c r="G49" s="23">
        <f t="shared" ref="G49:H49" si="18">G42+G48</f>
        <v>202.59886363316784</v>
      </c>
      <c r="H49" s="23">
        <f t="shared" si="18"/>
        <v>278.48568692436999</v>
      </c>
      <c r="I49" s="43">
        <f>100*(H49-G49)/G49</f>
        <v>37.456687530392728</v>
      </c>
      <c r="J49" s="23">
        <f>J42+J48</f>
        <v>439.79419198910006</v>
      </c>
      <c r="K49" s="23">
        <f t="shared" ref="K49:L49" si="19">K42+K48</f>
        <v>295.88657606340001</v>
      </c>
      <c r="L49" s="23">
        <f t="shared" si="19"/>
        <v>440.37866829970005</v>
      </c>
      <c r="M49" s="43">
        <f t="shared" si="0"/>
        <v>48.833608526173734</v>
      </c>
      <c r="O49" s="8"/>
      <c r="P49" s="8"/>
      <c r="Q49" s="8"/>
    </row>
    <row r="50" spans="1:17" x14ac:dyDescent="0.2">
      <c r="A50" s="4"/>
      <c r="B50" s="5"/>
      <c r="C50" s="5"/>
      <c r="D50" s="5"/>
      <c r="E50" s="39"/>
      <c r="F50" s="5"/>
      <c r="G50" s="5"/>
      <c r="H50" s="5"/>
      <c r="I50" s="39"/>
      <c r="J50" s="5"/>
      <c r="K50" s="5"/>
      <c r="L50" s="5"/>
      <c r="M50" s="48"/>
    </row>
    <row r="51" spans="1:17" x14ac:dyDescent="0.2">
      <c r="A51" s="26" t="s">
        <v>45</v>
      </c>
      <c r="B51" s="27">
        <v>2.4015901440583001</v>
      </c>
      <c r="C51" s="27">
        <v>2.375323989</v>
      </c>
      <c r="D51" s="27">
        <v>2.3984993837928199</v>
      </c>
      <c r="E51" s="44">
        <v>0.97567299872118363</v>
      </c>
      <c r="F51" s="27">
        <v>11.618495475127643</v>
      </c>
      <c r="G51" s="27">
        <v>10.035859656056454</v>
      </c>
      <c r="H51" s="27">
        <v>18.312294511267144</v>
      </c>
      <c r="I51" s="44">
        <v>82.468618921110718</v>
      </c>
      <c r="J51" s="27">
        <v>38.416506887899992</v>
      </c>
      <c r="K51" s="27">
        <v>33.383110875900002</v>
      </c>
      <c r="L51" s="27">
        <v>51.024200984299995</v>
      </c>
      <c r="M51" s="44">
        <f t="shared" si="0"/>
        <v>52.84435645910844</v>
      </c>
    </row>
    <row r="52" spans="1:17" x14ac:dyDescent="0.2">
      <c r="A52" s="28" t="s">
        <v>46</v>
      </c>
      <c r="B52" s="27">
        <v>0.53136974000000003</v>
      </c>
      <c r="C52" s="27">
        <v>0.68581826000000001</v>
      </c>
      <c r="D52" s="27">
        <v>0.73317299000000002</v>
      </c>
      <c r="E52" s="44">
        <v>6.9048511481744459</v>
      </c>
      <c r="F52" s="27">
        <v>0.15590130000000002</v>
      </c>
      <c r="G52" s="27">
        <v>0.28727035000000001</v>
      </c>
      <c r="H52" s="27">
        <v>9.5632700000000001E-2</v>
      </c>
      <c r="I52" s="44">
        <v>-66.709860589510882</v>
      </c>
      <c r="J52" s="27">
        <v>37.69538507</v>
      </c>
      <c r="K52" s="27">
        <v>32.576274390000002</v>
      </c>
      <c r="L52" s="27">
        <v>43.338513510000006</v>
      </c>
      <c r="M52" s="44">
        <f t="shared" si="0"/>
        <v>33.03704711949414</v>
      </c>
    </row>
    <row r="53" spans="1:17" x14ac:dyDescent="0.2">
      <c r="A53" s="34" t="s">
        <v>53</v>
      </c>
      <c r="B53" s="27">
        <v>1.7230726676965127</v>
      </c>
      <c r="C53" s="27">
        <v>1.8350185835080681</v>
      </c>
      <c r="D53" s="27">
        <v>14.980134654516746</v>
      </c>
      <c r="E53" s="44">
        <v>716.34784460213518</v>
      </c>
      <c r="F53" s="27">
        <v>19.215021</v>
      </c>
      <c r="G53" s="27">
        <v>17.985239</v>
      </c>
      <c r="H53" s="27">
        <v>20.935527</v>
      </c>
      <c r="I53" s="44">
        <v>16.403941031865077</v>
      </c>
      <c r="J53" s="27">
        <v>40.63655164</v>
      </c>
      <c r="K53" s="27">
        <v>39.831449560000003</v>
      </c>
      <c r="L53" s="27">
        <v>40.201081200000004</v>
      </c>
      <c r="M53" s="44">
        <f t="shared" si="0"/>
        <v>0.92798942565022091</v>
      </c>
    </row>
    <row r="54" spans="1:17" s="7" customFormat="1" x14ac:dyDescent="0.2">
      <c r="A54" s="29" t="s">
        <v>13</v>
      </c>
      <c r="B54" s="30">
        <f>SUM(B51:B53)</f>
        <v>4.6560325517548131</v>
      </c>
      <c r="C54" s="30">
        <f t="shared" ref="C54:D54" si="20">SUM(C51:C53)</f>
        <v>4.8961608325080679</v>
      </c>
      <c r="D54" s="30">
        <f t="shared" si="20"/>
        <v>18.111807028309567</v>
      </c>
      <c r="E54" s="45">
        <f>100*(D54-C54)/C54</f>
        <v>269.91854736585026</v>
      </c>
      <c r="F54" s="30">
        <f>SUM(F51:F53)</f>
        <v>30.989417775127642</v>
      </c>
      <c r="G54" s="30">
        <f t="shared" ref="G54:H54" si="21">SUM(G51:G53)</f>
        <v>28.308369006056452</v>
      </c>
      <c r="H54" s="30">
        <f t="shared" si="21"/>
        <v>39.343454211267144</v>
      </c>
      <c r="I54" s="45">
        <f>100*(H54-G54)/G54</f>
        <v>38.981706091402806</v>
      </c>
      <c r="J54" s="30">
        <f>SUM(J51:J53)</f>
        <v>116.74844359789998</v>
      </c>
      <c r="K54" s="30">
        <f t="shared" ref="K54:L54" si="22">SUM(K51:K53)</f>
        <v>105.79083482590002</v>
      </c>
      <c r="L54" s="30">
        <f t="shared" si="22"/>
        <v>134.56379569430001</v>
      </c>
      <c r="M54" s="45">
        <f t="shared" si="0"/>
        <v>27.197971275821438</v>
      </c>
      <c r="O54" s="8"/>
      <c r="P54" s="8"/>
      <c r="Q54" s="8"/>
    </row>
    <row r="55" spans="1:17" x14ac:dyDescent="0.2">
      <c r="M55" s="47"/>
    </row>
    <row r="56" spans="1:17" s="7" customFormat="1" x14ac:dyDescent="0.2">
      <c r="A56" s="6" t="s">
        <v>0</v>
      </c>
      <c r="B56" s="8">
        <f>B13+B18+B31+B49+B54</f>
        <v>283.75911226225378</v>
      </c>
      <c r="C56" s="8">
        <f t="shared" ref="C56:D56" si="23">C13+C18+C31+C49+C54</f>
        <v>276.8998836039957</v>
      </c>
      <c r="D56" s="8">
        <f t="shared" si="23"/>
        <v>256.4878896499464</v>
      </c>
      <c r="E56" s="47">
        <f t="shared" ref="E56:E59" si="24">100*(D56-C56)/C56</f>
        <v>-7.3716152164372959</v>
      </c>
      <c r="F56" s="8">
        <f>F13+F18+F31+F49+F54</f>
        <v>1122.5487185894776</v>
      </c>
      <c r="G56" s="8">
        <f t="shared" ref="G56:H56" si="25">G13+G18+G31+G49+G54</f>
        <v>1014.6369175165717</v>
      </c>
      <c r="H56" s="8">
        <f t="shared" si="25"/>
        <v>1165.6164028366643</v>
      </c>
      <c r="I56" s="47">
        <f t="shared" ref="I56:I59" si="26">100*(H56-G56)/G56</f>
        <v>14.88014901819564</v>
      </c>
      <c r="J56" s="8">
        <f>J13+J18+J31+J49+J54</f>
        <v>1803.0394657037</v>
      </c>
      <c r="K56" s="8">
        <f t="shared" ref="K56:L56" si="27">K13+K18+K31+K49+K54</f>
        <v>1630.3777609193</v>
      </c>
      <c r="L56" s="8">
        <f t="shared" si="27"/>
        <v>1872.6464416023</v>
      </c>
      <c r="M56" s="47">
        <f t="shared" si="0"/>
        <v>14.859665440136711</v>
      </c>
      <c r="O56" s="8"/>
      <c r="P56" s="8"/>
      <c r="Q56" s="8"/>
    </row>
    <row r="57" spans="1:17" s="7" customFormat="1" x14ac:dyDescent="0.2">
      <c r="A57" s="6" t="s">
        <v>15</v>
      </c>
      <c r="B57" s="8">
        <f>B8+B18+B31+B42+B51+B52</f>
        <v>183.46779210558057</v>
      </c>
      <c r="C57" s="8">
        <f t="shared" ref="C57:L57" si="28">C8+C18+C31+C42+C51+C52</f>
        <v>176.74688892065973</v>
      </c>
      <c r="D57" s="8">
        <f t="shared" si="28"/>
        <v>147.82622881626469</v>
      </c>
      <c r="E57" s="47">
        <f t="shared" si="24"/>
        <v>-16.362754830370616</v>
      </c>
      <c r="F57" s="8">
        <f t="shared" si="28"/>
        <v>402.66044658947777</v>
      </c>
      <c r="G57" s="8">
        <f t="shared" si="28"/>
        <v>337.21609351657173</v>
      </c>
      <c r="H57" s="8">
        <f t="shared" si="28"/>
        <v>409.67890583666446</v>
      </c>
      <c r="I57" s="47">
        <f t="shared" si="26"/>
        <v>21.488539163250731</v>
      </c>
      <c r="J57" s="8">
        <f t="shared" si="28"/>
        <v>946.7406080157001</v>
      </c>
      <c r="K57" s="8">
        <f t="shared" si="28"/>
        <v>800.63805104540006</v>
      </c>
      <c r="L57" s="8">
        <f t="shared" si="28"/>
        <v>996.08619296580014</v>
      </c>
      <c r="M57" s="47">
        <f t="shared" si="0"/>
        <v>24.411547972920065</v>
      </c>
      <c r="O57" s="8"/>
      <c r="P57" s="8"/>
      <c r="Q57" s="8"/>
    </row>
    <row r="58" spans="1:17" s="7" customFormat="1" x14ac:dyDescent="0.2">
      <c r="A58" s="6" t="s">
        <v>16</v>
      </c>
      <c r="B58" s="8">
        <f>B12+B48+B53</f>
        <v>100.29132015667318</v>
      </c>
      <c r="C58" s="8">
        <f t="shared" ref="C58:D58" si="29">C12+C48+C53</f>
        <v>100.15299468333596</v>
      </c>
      <c r="D58" s="8">
        <f t="shared" si="29"/>
        <v>108.66166083368174</v>
      </c>
      <c r="E58" s="47">
        <f t="shared" si="24"/>
        <v>8.4956682296405628</v>
      </c>
      <c r="F58" s="8">
        <f>F12+F48+F53</f>
        <v>719.88827200000003</v>
      </c>
      <c r="G58" s="8">
        <f t="shared" ref="G58:H58" si="30">G12+G48+G53</f>
        <v>677.42082400000004</v>
      </c>
      <c r="H58" s="8">
        <f t="shared" si="30"/>
        <v>755.93749700000001</v>
      </c>
      <c r="I58" s="47">
        <f t="shared" si="26"/>
        <v>11.590531353373331</v>
      </c>
      <c r="J58" s="8">
        <f>J12+J48+J53</f>
        <v>856.29885768799988</v>
      </c>
      <c r="K58" s="8">
        <f t="shared" ref="K58:L58" si="31">K12+K48+K53</f>
        <v>829.7397098739001</v>
      </c>
      <c r="L58" s="8">
        <f t="shared" si="31"/>
        <v>876.56024863649998</v>
      </c>
      <c r="M58" s="47">
        <f t="shared" si="0"/>
        <v>5.6427983625992111</v>
      </c>
      <c r="O58" s="8"/>
      <c r="P58" s="8"/>
      <c r="Q58" s="8"/>
    </row>
    <row r="59" spans="1:17" s="7" customFormat="1" x14ac:dyDescent="0.2">
      <c r="A59" s="6" t="s">
        <v>62</v>
      </c>
      <c r="B59" s="8">
        <f>SUM(B57:B58)</f>
        <v>283.75911226225378</v>
      </c>
      <c r="C59" s="8">
        <f t="shared" ref="C59:D59" si="32">SUM(C57:C58)</f>
        <v>276.8998836039957</v>
      </c>
      <c r="D59" s="8">
        <f t="shared" si="32"/>
        <v>256.4878896499464</v>
      </c>
      <c r="E59" s="47">
        <f t="shared" si="24"/>
        <v>-7.3716152164372959</v>
      </c>
      <c r="F59" s="8">
        <f>SUM(F57:F58)</f>
        <v>1122.5487185894779</v>
      </c>
      <c r="G59" s="8">
        <f t="shared" ref="G59:H59" si="33">SUM(G57:G58)</f>
        <v>1014.6369175165718</v>
      </c>
      <c r="H59" s="8">
        <f t="shared" si="33"/>
        <v>1165.6164028366645</v>
      </c>
      <c r="I59" s="47">
        <f t="shared" si="26"/>
        <v>14.880149018195649</v>
      </c>
      <c r="J59" s="8">
        <f>SUM(J57:J58)</f>
        <v>1803.0394657037</v>
      </c>
      <c r="K59" s="8">
        <f t="shared" ref="K59:L59" si="34">SUM(K57:K58)</f>
        <v>1630.3777609193003</v>
      </c>
      <c r="L59" s="8">
        <f t="shared" si="34"/>
        <v>1872.6464416023</v>
      </c>
      <c r="M59" s="47">
        <f t="shared" si="0"/>
        <v>14.859665440136695</v>
      </c>
      <c r="O59" s="8"/>
      <c r="P59" s="8"/>
      <c r="Q59" s="8"/>
    </row>
    <row r="61" spans="1:17" x14ac:dyDescent="0.2">
      <c r="A61" s="35" t="s">
        <v>56</v>
      </c>
    </row>
    <row r="62" spans="1:17" x14ac:dyDescent="0.2">
      <c r="A62" s="35" t="s">
        <v>54</v>
      </c>
    </row>
    <row r="63" spans="1:17" x14ac:dyDescent="0.2">
      <c r="A63" t="s">
        <v>57</v>
      </c>
    </row>
    <row r="64" spans="1:17" x14ac:dyDescent="0.2">
      <c r="A64" s="35" t="s">
        <v>55</v>
      </c>
    </row>
    <row r="65" spans="1:4" x14ac:dyDescent="0.2">
      <c r="A65" s="35" t="s">
        <v>61</v>
      </c>
    </row>
    <row r="66" spans="1:4" x14ac:dyDescent="0.2">
      <c r="A66" s="35" t="s">
        <v>63</v>
      </c>
    </row>
    <row r="67" spans="1:4" x14ac:dyDescent="0.2">
      <c r="A67" s="35" t="s">
        <v>60</v>
      </c>
    </row>
    <row r="68" spans="1:4" x14ac:dyDescent="0.2">
      <c r="A68" s="35" t="s">
        <v>59</v>
      </c>
    </row>
    <row r="69" spans="1:4" x14ac:dyDescent="0.2">
      <c r="A69" s="35" t="s">
        <v>58</v>
      </c>
    </row>
    <row r="73" spans="1:4" x14ac:dyDescent="0.2">
      <c r="D73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6DDA4-9CD3-B64B-9C7D-680BFEDA82C9}">
  <dimension ref="A1:J5"/>
  <sheetViews>
    <sheetView workbookViewId="0">
      <selection activeCell="J10" sqref="J10"/>
    </sheetView>
  </sheetViews>
  <sheetFormatPr baseColWidth="10" defaultRowHeight="15" x14ac:dyDescent="0.2"/>
  <cols>
    <col min="1" max="5" width="22.33203125" customWidth="1"/>
  </cols>
  <sheetData>
    <row r="1" spans="1:10" ht="16" x14ac:dyDescent="0.2">
      <c r="A1" s="63" t="s">
        <v>4</v>
      </c>
      <c r="B1" s="63">
        <v>2015</v>
      </c>
      <c r="C1" s="63">
        <v>2016</v>
      </c>
      <c r="D1" s="63">
        <v>2017</v>
      </c>
      <c r="E1" s="63">
        <v>2018</v>
      </c>
      <c r="F1" s="63">
        <v>2019</v>
      </c>
      <c r="G1" s="63">
        <v>2020</v>
      </c>
      <c r="H1" s="63">
        <v>2021</v>
      </c>
      <c r="I1" s="3">
        <v>2022</v>
      </c>
      <c r="J1" s="3">
        <v>2023</v>
      </c>
    </row>
    <row r="2" spans="1:10" x14ac:dyDescent="0.2">
      <c r="A2" t="s">
        <v>69</v>
      </c>
      <c r="B2">
        <v>1.1000000000000001</v>
      </c>
      <c r="C2">
        <v>1</v>
      </c>
      <c r="D2">
        <v>1.1000000000000001</v>
      </c>
      <c r="F2">
        <v>1.1122842410480001</v>
      </c>
      <c r="G2">
        <v>0.83060270186399943</v>
      </c>
      <c r="H2">
        <v>0.99195671606399982</v>
      </c>
    </row>
    <row r="3" spans="1:10" x14ac:dyDescent="0.2">
      <c r="A3" t="s">
        <v>68</v>
      </c>
      <c r="B3">
        <v>0.7</v>
      </c>
      <c r="C3">
        <v>0.7</v>
      </c>
      <c r="D3">
        <v>0.3</v>
      </c>
      <c r="F3">
        <v>0.80305535778666659</v>
      </c>
      <c r="G3">
        <v>0.66578499422400006</v>
      </c>
      <c r="H3">
        <v>0.52142747990399996</v>
      </c>
    </row>
    <row r="4" spans="1:10" x14ac:dyDescent="0.2">
      <c r="A4" t="s">
        <v>66</v>
      </c>
      <c r="B4">
        <v>9.1999999999999993</v>
      </c>
      <c r="C4">
        <v>9.3000000000000007</v>
      </c>
      <c r="D4">
        <v>7.7</v>
      </c>
      <c r="F4" s="23">
        <v>7.7789899446699984</v>
      </c>
      <c r="G4" s="23">
        <v>5.156088924395001</v>
      </c>
      <c r="H4" s="23">
        <v>7.9969919271250003</v>
      </c>
    </row>
    <row r="5" spans="1:10" x14ac:dyDescent="0.2">
      <c r="F5" s="1"/>
      <c r="G5" s="1"/>
      <c r="H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CD746-3835-F647-B6F7-B0493DEDAEDD}">
  <dimension ref="A1:AM9"/>
  <sheetViews>
    <sheetView tabSelected="1" topLeftCell="AB1" workbookViewId="0">
      <selection activeCell="AO15" sqref="AO15"/>
    </sheetView>
  </sheetViews>
  <sheetFormatPr baseColWidth="10" defaultRowHeight="15" x14ac:dyDescent="0.2"/>
  <cols>
    <col min="1" max="1" width="15.6640625" customWidth="1"/>
  </cols>
  <sheetData>
    <row r="1" spans="1:39" x14ac:dyDescent="0.2">
      <c r="A1" t="s">
        <v>4</v>
      </c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</row>
    <row r="2" spans="1:39" x14ac:dyDescent="0.2">
      <c r="A2" t="s">
        <v>64</v>
      </c>
      <c r="B2">
        <v>7</v>
      </c>
      <c r="C2">
        <v>25</v>
      </c>
      <c r="D2">
        <v>30</v>
      </c>
      <c r="E2">
        <v>31</v>
      </c>
      <c r="F2">
        <v>47</v>
      </c>
      <c r="G2">
        <v>169</v>
      </c>
      <c r="H2">
        <v>308</v>
      </c>
      <c r="I2">
        <v>347</v>
      </c>
      <c r="J2">
        <v>542</v>
      </c>
      <c r="K2">
        <v>885</v>
      </c>
      <c r="L2">
        <v>979</v>
      </c>
      <c r="M2">
        <v>649</v>
      </c>
      <c r="N2">
        <v>704</v>
      </c>
      <c r="O2">
        <v>800</v>
      </c>
      <c r="P2">
        <v>1000</v>
      </c>
      <c r="Q2">
        <v>1400</v>
      </c>
      <c r="R2">
        <v>1500</v>
      </c>
      <c r="S2">
        <v>1589</v>
      </c>
      <c r="T2">
        <v>1599</v>
      </c>
      <c r="U2">
        <v>1856</v>
      </c>
      <c r="V2">
        <v>1707</v>
      </c>
      <c r="W2">
        <v>1658</v>
      </c>
      <c r="X2">
        <v>1305</v>
      </c>
      <c r="Y2">
        <v>1359</v>
      </c>
      <c r="Z2">
        <v>1485</v>
      </c>
      <c r="AA2">
        <v>1172</v>
      </c>
      <c r="AB2">
        <v>2710</v>
      </c>
      <c r="AC2">
        <v>2476</v>
      </c>
      <c r="AD2">
        <v>1327</v>
      </c>
      <c r="AE2">
        <v>1206</v>
      </c>
      <c r="AF2">
        <v>952</v>
      </c>
      <c r="AG2">
        <v>1095</v>
      </c>
      <c r="AH2">
        <v>1159</v>
      </c>
      <c r="AI2">
        <v>1116</v>
      </c>
      <c r="AJ2">
        <v>849</v>
      </c>
      <c r="AK2">
        <v>996</v>
      </c>
      <c r="AL2">
        <v>1316</v>
      </c>
      <c r="AM2">
        <v>1403</v>
      </c>
    </row>
    <row r="3" spans="1:39" x14ac:dyDescent="0.2">
      <c r="A3" t="s">
        <v>66</v>
      </c>
      <c r="B3">
        <v>2864</v>
      </c>
      <c r="C3">
        <v>3482</v>
      </c>
      <c r="D3">
        <v>3701</v>
      </c>
      <c r="E3">
        <v>3721</v>
      </c>
      <c r="F3">
        <v>4076</v>
      </c>
      <c r="G3">
        <v>4482</v>
      </c>
      <c r="H3">
        <v>4484</v>
      </c>
      <c r="I3">
        <v>4758</v>
      </c>
      <c r="J3">
        <v>4990</v>
      </c>
      <c r="K3">
        <v>5260</v>
      </c>
      <c r="L3">
        <v>5480</v>
      </c>
      <c r="M3">
        <v>3650</v>
      </c>
      <c r="N3">
        <v>5500</v>
      </c>
      <c r="O3">
        <v>5300</v>
      </c>
      <c r="P3">
        <v>9624</v>
      </c>
      <c r="Q3">
        <v>7400</v>
      </c>
      <c r="R3">
        <v>7200</v>
      </c>
      <c r="S3">
        <v>7837</v>
      </c>
      <c r="T3">
        <v>8145</v>
      </c>
      <c r="U3">
        <v>8011</v>
      </c>
      <c r="V3">
        <v>8212</v>
      </c>
      <c r="W3">
        <v>7483</v>
      </c>
      <c r="X3">
        <v>5670</v>
      </c>
      <c r="Y3">
        <v>5735</v>
      </c>
      <c r="Z3">
        <v>7550</v>
      </c>
      <c r="AA3">
        <v>6242</v>
      </c>
      <c r="AB3">
        <v>6847</v>
      </c>
      <c r="AC3">
        <v>5592</v>
      </c>
      <c r="AD3">
        <v>8108</v>
      </c>
      <c r="AE3">
        <v>6587</v>
      </c>
      <c r="AF3">
        <v>8797</v>
      </c>
      <c r="AG3">
        <v>8012</v>
      </c>
      <c r="AH3">
        <v>7178</v>
      </c>
      <c r="AI3">
        <v>7779</v>
      </c>
      <c r="AJ3">
        <v>5156</v>
      </c>
      <c r="AK3">
        <v>7997</v>
      </c>
      <c r="AL3">
        <v>8226</v>
      </c>
      <c r="AM3">
        <v>7371</v>
      </c>
    </row>
    <row r="4" spans="1:39" x14ac:dyDescent="0.2">
      <c r="A4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4</v>
      </c>
      <c r="L4">
        <v>0</v>
      </c>
      <c r="M4">
        <v>9</v>
      </c>
      <c r="N4">
        <v>0</v>
      </c>
      <c r="O4">
        <v>0</v>
      </c>
      <c r="P4">
        <v>0</v>
      </c>
      <c r="Q4">
        <v>0</v>
      </c>
      <c r="R4">
        <v>0</v>
      </c>
      <c r="S4">
        <v>73</v>
      </c>
      <c r="T4">
        <v>84</v>
      </c>
      <c r="U4">
        <v>166</v>
      </c>
      <c r="V4">
        <v>252</v>
      </c>
      <c r="W4">
        <v>543</v>
      </c>
      <c r="X4">
        <v>285</v>
      </c>
      <c r="Y4">
        <v>312</v>
      </c>
      <c r="Z4">
        <v>364</v>
      </c>
      <c r="AA4">
        <v>288</v>
      </c>
      <c r="AB4">
        <v>274</v>
      </c>
      <c r="AC4">
        <v>291</v>
      </c>
      <c r="AD4">
        <v>592</v>
      </c>
      <c r="AE4">
        <v>668</v>
      </c>
      <c r="AF4">
        <v>645</v>
      </c>
      <c r="AG4">
        <v>261</v>
      </c>
      <c r="AH4">
        <v>522</v>
      </c>
      <c r="AI4">
        <v>727</v>
      </c>
      <c r="AJ4">
        <v>550</v>
      </c>
      <c r="AK4">
        <v>481</v>
      </c>
      <c r="AL4">
        <v>531</v>
      </c>
      <c r="AM4">
        <v>717</v>
      </c>
    </row>
    <row r="5" spans="1:39" x14ac:dyDescent="0.2">
      <c r="A5" t="s">
        <v>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6</v>
      </c>
      <c r="I5">
        <v>17</v>
      </c>
      <c r="J5">
        <v>27</v>
      </c>
      <c r="K5">
        <v>24</v>
      </c>
      <c r="L5">
        <v>142</v>
      </c>
      <c r="M5">
        <v>23</v>
      </c>
      <c r="N5">
        <v>40</v>
      </c>
      <c r="O5">
        <v>30</v>
      </c>
      <c r="P5">
        <v>69</v>
      </c>
      <c r="Q5">
        <v>110</v>
      </c>
      <c r="R5">
        <v>90</v>
      </c>
      <c r="S5">
        <v>80</v>
      </c>
      <c r="T5">
        <v>77</v>
      </c>
      <c r="U5">
        <v>50</v>
      </c>
      <c r="V5">
        <v>46</v>
      </c>
      <c r="W5">
        <v>157</v>
      </c>
      <c r="X5">
        <v>276</v>
      </c>
      <c r="Y5">
        <v>385</v>
      </c>
      <c r="Z5">
        <v>695</v>
      </c>
      <c r="AA5">
        <v>271</v>
      </c>
      <c r="AB5">
        <v>198</v>
      </c>
      <c r="AC5">
        <v>91</v>
      </c>
      <c r="AD5">
        <v>100</v>
      </c>
      <c r="AE5">
        <v>20</v>
      </c>
      <c r="AF5">
        <v>23</v>
      </c>
      <c r="AG5">
        <v>74</v>
      </c>
      <c r="AH5">
        <v>89</v>
      </c>
      <c r="AI5">
        <v>76</v>
      </c>
      <c r="AJ5">
        <v>118</v>
      </c>
      <c r="AK5">
        <v>52</v>
      </c>
      <c r="AL5">
        <v>76</v>
      </c>
      <c r="AM5">
        <v>96</v>
      </c>
    </row>
    <row r="6" spans="1:39" x14ac:dyDescent="0.2">
      <c r="A6" t="s">
        <v>70</v>
      </c>
      <c r="B6">
        <v>6</v>
      </c>
      <c r="C6">
        <v>17</v>
      </c>
      <c r="D6">
        <v>0</v>
      </c>
      <c r="E6">
        <v>10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364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530</v>
      </c>
      <c r="Z6">
        <v>26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</row>
    <row r="8" spans="1:39" x14ac:dyDescent="0.2">
      <c r="A8" t="s">
        <v>71</v>
      </c>
    </row>
    <row r="9" spans="1:39" x14ac:dyDescent="0.2">
      <c r="A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R</vt:lpstr>
      <vt:lpstr>R2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Dalby, James AGRI:EX</dc:creator>
  <cp:lastModifiedBy>Marissa Wright-La Greca</cp:lastModifiedBy>
  <dcterms:created xsi:type="dcterms:W3CDTF">2022-10-05T15:47:44Z</dcterms:created>
  <dcterms:modified xsi:type="dcterms:W3CDTF">2025-05-01T17:00:12Z</dcterms:modified>
</cp:coreProperties>
</file>